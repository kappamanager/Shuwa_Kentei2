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K:\マイドライブ\かつおーず\011_Creation\WebSite\shuwa_exam_site\excel\"/>
    </mc:Choice>
  </mc:AlternateContent>
  <xr:revisionPtr revIDLastSave="0" documentId="13_ncr:1_{D21202C7-FFE0-4337-8D71-D5E8D03E78A1}" xr6:coauthVersionLast="47" xr6:coauthVersionMax="47" xr10:uidLastSave="{00000000-0000-0000-0000-000000000000}"/>
  <bookViews>
    <workbookView xWindow="-120" yWindow="-120" windowWidth="29040" windowHeight="15720" xr2:uid="{00000000-000D-0000-FFFF-FFFF00000000}"/>
  </bookViews>
  <sheets>
    <sheet name="shuwa" sheetId="2" r:id="rId1"/>
    <sheet name="writing" sheetId="1" r:id="rId2"/>
    <sheet name="筆記２級関数" sheetId="3" r:id="rId3"/>
    <sheet name="筆記準１級" sheetId="4" r:id="rId4"/>
  </sheets>
  <definedNames>
    <definedName name="_xlnm._FilterDatabase" localSheetId="0" hidden="1">shuwa!$A$1:$J$144</definedName>
    <definedName name="_xlnm._FilterDatabase" localSheetId="1" hidden="1">writing!$A$1:$H$34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2"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2" i="2"/>
  <c r="A139" i="2"/>
  <c r="A140" i="2"/>
  <c r="A141" i="2"/>
  <c r="A142" i="2"/>
  <c r="A143" i="2"/>
  <c r="A144" i="2"/>
  <c r="A128" i="2"/>
  <c r="A129" i="2"/>
  <c r="A130" i="2"/>
  <c r="A131" i="2"/>
  <c r="A132" i="2"/>
  <c r="A133" i="2"/>
  <c r="A134" i="2"/>
  <c r="A135" i="2"/>
  <c r="A115" i="2"/>
  <c r="A116" i="2"/>
  <c r="A117" i="2"/>
  <c r="A118" i="2"/>
  <c r="A119" i="2"/>
  <c r="A120" i="2"/>
  <c r="A121" i="2"/>
  <c r="A122" i="2"/>
  <c r="A90" i="2"/>
  <c r="A91" i="2"/>
  <c r="A92" i="2"/>
  <c r="A93" i="2"/>
  <c r="A94" i="2"/>
  <c r="A95" i="2"/>
  <c r="A96" i="2"/>
  <c r="A97" i="2"/>
  <c r="A98" i="2"/>
  <c r="A99" i="2"/>
  <c r="A100" i="2"/>
  <c r="A101" i="2"/>
  <c r="A102" i="2"/>
  <c r="A103" i="2"/>
  <c r="A104" i="2"/>
  <c r="A105" i="2"/>
  <c r="A106" i="2"/>
  <c r="A107" i="2"/>
  <c r="A108" i="2"/>
  <c r="A109" i="2"/>
  <c r="A110" i="2"/>
  <c r="A111" i="2"/>
  <c r="A112" i="2"/>
  <c r="A113" i="2"/>
  <c r="A114" i="2"/>
  <c r="A123" i="2"/>
  <c r="A124" i="2"/>
  <c r="A125" i="2"/>
  <c r="A126" i="2"/>
  <c r="A127" i="2"/>
  <c r="A136" i="2"/>
  <c r="A137" i="2"/>
  <c r="A138" i="2"/>
  <c r="A84" i="2"/>
  <c r="A85" i="2"/>
  <c r="A86" i="2"/>
  <c r="A87" i="2"/>
  <c r="A88" i="2"/>
  <c r="A89" i="2"/>
  <c r="A79" i="2"/>
  <c r="A80" i="2"/>
  <c r="A81" i="2"/>
  <c r="A82" i="2"/>
  <c r="A83" i="2"/>
  <c r="O9" i="4"/>
  <c r="O9" i="4" a="1"/>
  <c r="E9" i="4" a="1"/>
  <c r="E9" i="4" s="1"/>
  <c r="S9" i="4" s="1" a="1"/>
  <c r="S9" i="4" s="1"/>
  <c r="T9" i="4" s="1"/>
  <c r="O8" i="4" a="1"/>
  <c r="O8" i="4" s="1"/>
  <c r="E8" i="4"/>
  <c r="S8" i="4" s="1" a="1"/>
  <c r="S8" i="4" s="1"/>
  <c r="T8" i="4" s="1"/>
  <c r="E8" i="4" a="1"/>
  <c r="O7" i="4" a="1"/>
  <c r="O7" i="4" s="1"/>
  <c r="E7" i="4" a="1"/>
  <c r="E7" i="4" s="1"/>
  <c r="S7" i="4" s="1" a="1"/>
  <c r="S7" i="4" s="1"/>
  <c r="T7" i="4" s="1"/>
  <c r="O6" i="4" a="1"/>
  <c r="O6" i="4" s="1"/>
  <c r="E6" i="4" a="1"/>
  <c r="E6" i="4" s="1"/>
  <c r="S6" i="4" s="1" a="1"/>
  <c r="S6" i="4" s="1"/>
  <c r="T6" i="4" s="1"/>
  <c r="O5" i="4"/>
  <c r="O5" i="4" a="1"/>
  <c r="E5" i="4" a="1"/>
  <c r="E5" i="4" s="1"/>
  <c r="S5" i="4" s="1" a="1"/>
  <c r="S5" i="4" s="1"/>
  <c r="T5" i="4" s="1"/>
  <c r="O4" i="4" a="1"/>
  <c r="O4" i="4" s="1"/>
  <c r="E4" i="4" a="1"/>
  <c r="E4" i="4" s="1"/>
  <c r="S4" i="4" s="1" a="1"/>
  <c r="S4" i="4" s="1"/>
  <c r="T4" i="4" s="1"/>
  <c r="O3" i="4" a="1"/>
  <c r="O3" i="4" s="1"/>
  <c r="E3" i="4" a="1"/>
  <c r="E3" i="4" s="1"/>
  <c r="S3" i="4" s="1" a="1"/>
  <c r="S3" i="4" s="1"/>
  <c r="T3" i="4" s="1"/>
  <c r="O2" i="4" a="1"/>
  <c r="O2" i="4" s="1"/>
  <c r="E2" i="4" a="1"/>
  <c r="E2" i="4" s="1"/>
  <c r="S2" i="4" s="1" a="1"/>
  <c r="S2" i="4" s="1"/>
  <c r="T2" i="4" s="1"/>
  <c r="D26" i="3" a="1"/>
  <c r="D26" i="3" s="1"/>
  <c r="H26" i="3" s="1" a="1"/>
  <c r="H26" i="3" s="1"/>
  <c r="I26" i="3" s="1"/>
  <c r="D25" i="3" a="1"/>
  <c r="D25" i="3" s="1"/>
  <c r="H25" i="3" s="1" a="1"/>
  <c r="H25" i="3" s="1"/>
  <c r="I25" i="3" s="1"/>
  <c r="D24" i="3"/>
  <c r="H24" i="3" s="1" a="1"/>
  <c r="H24" i="3" s="1"/>
  <c r="I24" i="3" s="1"/>
  <c r="D24" i="3" a="1"/>
  <c r="H23" i="3" a="1"/>
  <c r="H23" i="3" s="1"/>
  <c r="I23" i="3" s="1"/>
  <c r="D23" i="3"/>
  <c r="D23" i="3" a="1"/>
  <c r="D22" i="3" a="1"/>
  <c r="D22" i="3" s="1"/>
  <c r="H22" i="3" s="1" a="1"/>
  <c r="H22" i="3" s="1"/>
  <c r="I22" i="3" s="1"/>
  <c r="H21" i="3" a="1"/>
  <c r="H21" i="3" s="1"/>
  <c r="I21" i="3" s="1"/>
  <c r="D21" i="3" a="1"/>
  <c r="D21" i="3" s="1"/>
  <c r="D20" i="3" a="1"/>
  <c r="D20" i="3" s="1"/>
  <c r="H20" i="3" s="1" a="1"/>
  <c r="H20" i="3" s="1"/>
  <c r="I20" i="3" s="1"/>
  <c r="D19" i="3" a="1"/>
  <c r="D19" i="3" s="1"/>
  <c r="H19" i="3" s="1" a="1"/>
  <c r="H19" i="3" s="1"/>
  <c r="I19" i="3" s="1"/>
  <c r="D18" i="3"/>
  <c r="H18" i="3" s="1" a="1"/>
  <c r="H18" i="3" s="1"/>
  <c r="I18" i="3" s="1"/>
  <c r="D18" i="3" a="1"/>
  <c r="D17" i="3" a="1"/>
  <c r="D17" i="3" s="1"/>
  <c r="H17" i="3" s="1" a="1"/>
  <c r="H17" i="3" s="1"/>
  <c r="I17" i="3" s="1"/>
  <c r="D16" i="3" a="1"/>
  <c r="D16" i="3" s="1"/>
  <c r="H16" i="3" s="1" a="1"/>
  <c r="H16" i="3" s="1"/>
  <c r="I16" i="3" s="1"/>
  <c r="D15" i="3" a="1"/>
  <c r="D15" i="3" s="1"/>
  <c r="H15" i="3" s="1" a="1"/>
  <c r="H15" i="3" s="1"/>
  <c r="I15" i="3" s="1"/>
  <c r="D14" i="3" a="1"/>
  <c r="D14" i="3" s="1"/>
  <c r="H14" i="3" s="1" a="1"/>
  <c r="H14" i="3" s="1"/>
  <c r="I14" i="3" s="1"/>
  <c r="D13" i="3" a="1"/>
  <c r="D13" i="3" s="1"/>
  <c r="H13" i="3" s="1" a="1"/>
  <c r="H13" i="3" s="1"/>
  <c r="I13" i="3" s="1"/>
  <c r="D12" i="3" a="1"/>
  <c r="D12" i="3" s="1"/>
  <c r="H12" i="3" s="1" a="1"/>
  <c r="H12" i="3" s="1"/>
  <c r="I12" i="3" s="1"/>
  <c r="D11" i="3" a="1"/>
  <c r="D11" i="3" s="1"/>
  <c r="H11" i="3" s="1" a="1"/>
  <c r="H11" i="3" s="1"/>
  <c r="I11" i="3" s="1"/>
  <c r="H10" i="3" a="1"/>
  <c r="H10" i="3" s="1"/>
  <c r="I10" i="3" s="1"/>
  <c r="D10" i="3"/>
  <c r="D10" i="3" a="1"/>
  <c r="D9" i="3" a="1"/>
  <c r="D9" i="3" s="1"/>
  <c r="H9" i="3" s="1" a="1"/>
  <c r="H9" i="3" s="1"/>
  <c r="I9" i="3" s="1"/>
  <c r="D8" i="3" a="1"/>
  <c r="D8" i="3" s="1"/>
  <c r="H8" i="3" s="1" a="1"/>
  <c r="H8" i="3" s="1"/>
  <c r="I8" i="3" s="1"/>
  <c r="D7" i="3" a="1"/>
  <c r="D7" i="3" s="1"/>
  <c r="H7" i="3" s="1" a="1"/>
  <c r="H7" i="3" s="1"/>
  <c r="I7" i="3" s="1"/>
  <c r="D6" i="3" a="1"/>
  <c r="D6" i="3" s="1"/>
  <c r="H6" i="3" s="1" a="1"/>
  <c r="H6" i="3" s="1"/>
  <c r="I6" i="3" s="1"/>
  <c r="D5" i="3" a="1"/>
  <c r="D5" i="3" s="1"/>
  <c r="H5" i="3" s="1" a="1"/>
  <c r="H5" i="3" s="1"/>
  <c r="I5" i="3" s="1"/>
  <c r="H4" i="3"/>
  <c r="I4" i="3" s="1"/>
  <c r="H4" i="3" a="1"/>
  <c r="D4" i="3" a="1"/>
  <c r="D4" i="3" s="1"/>
  <c r="D3" i="3" a="1"/>
  <c r="D3" i="3" s="1"/>
  <c r="H3" i="3" s="1" a="1"/>
  <c r="H3" i="3" s="1"/>
  <c r="I3" i="3" s="1"/>
  <c r="D2" i="3" a="1"/>
  <c r="D2" i="3" s="1"/>
  <c r="H2" i="3" s="1" a="1"/>
  <c r="H2" i="3" s="1"/>
  <c r="I2" i="3" s="1"/>
  <c r="A27" i="1"/>
  <c r="A28" i="1"/>
  <c r="A29" i="1"/>
  <c r="A30" i="1"/>
  <c r="A31" i="1"/>
  <c r="A32" i="1"/>
  <c r="A33" i="1"/>
  <c r="A34" i="1"/>
  <c r="A22" i="1"/>
  <c r="A23" i="1"/>
  <c r="A24" i="1"/>
  <c r="A25" i="1"/>
  <c r="A26" i="1"/>
  <c r="A20" i="1"/>
  <c r="A21" i="1"/>
  <c r="A3" i="1"/>
  <c r="A4" i="1"/>
  <c r="A5" i="1"/>
  <c r="A6" i="1"/>
  <c r="A7" i="1"/>
  <c r="A8" i="1"/>
  <c r="A9" i="1"/>
  <c r="A10" i="1"/>
  <c r="A11" i="1"/>
  <c r="A12" i="1"/>
  <c r="A13" i="1"/>
  <c r="A14" i="1"/>
  <c r="A15" i="1"/>
  <c r="A16" i="1"/>
  <c r="A17" i="1"/>
  <c r="A18" i="1"/>
  <c r="A19" i="1"/>
  <c r="A2" i="1"/>
  <c r="A11" i="2"/>
  <c r="A10" i="2"/>
  <c r="A9" i="2"/>
  <c r="A8" i="2"/>
  <c r="A7" i="2"/>
  <c r="A6" i="2"/>
  <c r="A5" i="2"/>
  <c r="A4" i="2"/>
  <c r="A3" i="2"/>
  <c r="A2" i="2"/>
  <c r="A40" i="2"/>
  <c r="A39" i="2"/>
  <c r="A38" i="2"/>
  <c r="A37" i="2"/>
  <c r="A36" i="2"/>
  <c r="A35" i="2"/>
  <c r="A34" i="2"/>
  <c r="A33" i="2"/>
  <c r="A32" i="2"/>
  <c r="A31" i="2"/>
  <c r="A30" i="2"/>
  <c r="A29" i="2"/>
  <c r="A28" i="2"/>
  <c r="A27" i="2"/>
  <c r="A26" i="2"/>
  <c r="A25" i="2"/>
  <c r="A54" i="2"/>
  <c r="A53" i="2"/>
  <c r="A52" i="2"/>
  <c r="A51" i="2"/>
  <c r="A50" i="2"/>
  <c r="A49" i="2"/>
  <c r="A48" i="2"/>
  <c r="A47" i="2"/>
  <c r="A46" i="2"/>
  <c r="A45" i="2"/>
  <c r="A44" i="2"/>
  <c r="A43" i="2"/>
  <c r="A42" i="2"/>
  <c r="A41" i="2"/>
  <c r="A66" i="2"/>
  <c r="A65" i="2"/>
  <c r="A64" i="2"/>
  <c r="A63" i="2"/>
  <c r="A62" i="2"/>
  <c r="A61" i="2"/>
  <c r="A60" i="2"/>
  <c r="A59" i="2"/>
  <c r="A58" i="2"/>
  <c r="A57" i="2"/>
  <c r="A56" i="2"/>
  <c r="A55" i="2"/>
  <c r="A78" i="2"/>
  <c r="A77" i="2"/>
  <c r="A76" i="2"/>
  <c r="A75" i="2"/>
  <c r="A74" i="2"/>
  <c r="A73" i="2"/>
  <c r="A72" i="2"/>
  <c r="A71" i="2"/>
  <c r="A70" i="2"/>
  <c r="A69" i="2"/>
  <c r="A68" i="2"/>
  <c r="A67" i="2"/>
  <c r="A24" i="2"/>
  <c r="A23" i="2"/>
  <c r="A22" i="2"/>
  <c r="A21" i="2"/>
  <c r="A20" i="2"/>
  <c r="A19" i="2"/>
  <c r="A18" i="2"/>
  <c r="A17" i="2"/>
  <c r="A16" i="2"/>
  <c r="A15" i="2"/>
  <c r="A14" i="2"/>
  <c r="A13" i="2"/>
  <c r="A1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<sst xmlns="http://schemas.openxmlformats.org/spreadsheetml/2006/main" count="920" uniqueCount="433">
  <si>
    <t>#</t>
    <phoneticPr fontId="3"/>
  </si>
  <si>
    <t>Level</t>
    <phoneticPr fontId="3"/>
  </si>
  <si>
    <t>Theme</t>
    <phoneticPr fontId="3"/>
  </si>
  <si>
    <t>Reference</t>
    <phoneticPr fontId="3"/>
  </si>
  <si>
    <t>◎旅行の思い出を話してください。</t>
  </si>
  <si>
    <t>https://ameblo.jp/motohiko-in-kumano-2013/entry-12823050275.html</t>
    <phoneticPr fontId="3"/>
  </si>
  <si>
    <t>◎先週の日曜日は何をしましたか。</t>
  </si>
  <si>
    <t>◎今年の思い出を話してください。</t>
  </si>
  <si>
    <t>◎年末年始の過ごし方を話してください。</t>
  </si>
  <si>
    <t>◎あなたの１日について話してください。昨日は何をしましたか?</t>
  </si>
  <si>
    <t>◎夏の思い出について話してください。</t>
  </si>
  <si>
    <t>◎今年、あなたが一番楽しかったことは?</t>
  </si>
  <si>
    <t>◎１週間の出来事について話してください。</t>
  </si>
  <si>
    <t>◎この１年間の出来事について話してください。</t>
  </si>
  <si>
    <t>◎１日の生活について話してください。</t>
  </si>
  <si>
    <t>◎連休の過ごし方について話してください。正月、連休、夏休み、冬休み。</t>
  </si>
  <si>
    <t>◎今年の出来事を話してください。</t>
  </si>
  <si>
    <t>◎先週の出来事を話してください。</t>
  </si>
  <si>
    <t>◎県知事記者会見の手話通訳など、ろう者の情報保障について考えていることを話してください。</t>
  </si>
  <si>
    <t>https://ameblo.jp/motohiko-in-kumano-2013/entry-12824169617.html?frm=theme</t>
    <phoneticPr fontId="3"/>
  </si>
  <si>
    <t>◎新しい手話の創作と普及について、あなたの考えを述べてください。</t>
  </si>
  <si>
    <t>◎手話言語の普及、広がりについてどう思いますか。</t>
  </si>
  <si>
    <t>◎手話を学ぶ魅力について。</t>
  </si>
  <si>
    <t>◎少子高齢化についてあなたの考えを話してください。</t>
  </si>
  <si>
    <t>◎防災について、あなたが思うことを話してください。</t>
  </si>
  <si>
    <t>◎生活、文化、伝統など日本の良いと思うところを話してください。</t>
  </si>
  <si>
    <t>◎スマートフォン、携帯電話での連絡コミュニケーションが広がってます。あなたはどう思いますか。</t>
  </si>
  <si>
    <t>◎環境問題についてあなたの考えを話してください。</t>
  </si>
  <si>
    <t>◎節電対策について話してください。</t>
  </si>
  <si>
    <t>◎東日本大震災について思うことを話してください。</t>
  </si>
  <si>
    <t>◎あなたが今まで学習活動をしてきて感じた手話の魅力について考えていること。</t>
  </si>
  <si>
    <t>準1</t>
    <rPh sb="0" eb="1">
      <t>ジュン</t>
    </rPh>
    <phoneticPr fontId="3"/>
  </si>
  <si>
    <t>◎コロナ渦が収束したら、あなたはどんなことをしたいですか。また、どんな活動をしたいですか。</t>
  </si>
  <si>
    <t>https://ameblo.jp/motohiko-in-kumano-2013/entry-12823828682.html?frm=theme</t>
    <phoneticPr fontId="3"/>
  </si>
  <si>
    <t>◎新型コロナウイルスで外出自粛の際、どのように過ごしていましたか。</t>
  </si>
  <si>
    <t>◎最近の交通事故、交通安全についてどう思いますか。</t>
  </si>
  <si>
    <t>◎聞こえない人や手話ついてまわりの人に話すとしたらどんなことを話しますか。</t>
  </si>
  <si>
    <t>◎聴覚障害者と接するときに心がけていること。</t>
  </si>
  <si>
    <t>◎オリンピック、パラリンピックについてあなたの思っていることを話してください</t>
  </si>
  <si>
    <t>◎手話を学び聴覚障害者と交流する中で自分が学んだこと、変わってきたと思うことを話してください。</t>
  </si>
  <si>
    <t>◎今までの手話の学習、ろう者との交流について。</t>
  </si>
  <si>
    <t>◎関心のある最近のニュースについて。</t>
  </si>
  <si>
    <t>◎ロンドンオリンピックについて話してください。</t>
  </si>
  <si>
    <t>◎手話で会話できることを生かして地域、学校、職場でどのような活動ができると思いますか。あなたの考えを話してください。</t>
  </si>
  <si>
    <t>◎ろうあ者、聴覚障害者との交流を通じて感じたこと。</t>
  </si>
  <si>
    <t>◎手話を学び始めたきっかけとこれからの活動について話をしてください。　</t>
  </si>
  <si>
    <t>https://ameblo.jp/motohiko-in-kumano-2013/entry-12823178426.html?frm=theme</t>
    <phoneticPr fontId="3"/>
  </si>
  <si>
    <t>◎手話を学んで難しい、たいへんだと思ったことは何ですか。</t>
  </si>
  <si>
    <t>◎あなたの仕事（学校）について自由に話してください。</t>
  </si>
  <si>
    <t>◎あなたの関心のあること。</t>
  </si>
  <si>
    <t>◎長い休みが取れたらどんなことをしたいかを話してください。</t>
  </si>
  <si>
    <t>◎手話の学習を始めたきっかけと学習方法について話してください</t>
  </si>
  <si>
    <t>◎あなたの特技、趣味を生かした活動。</t>
  </si>
  <si>
    <t>◎ストレス解消方法について。</t>
  </si>
  <si>
    <t>◎手話を学ぶようになったきっかけについて。</t>
  </si>
  <si>
    <t>◎手話を学んでよかったと思うこと。</t>
  </si>
  <si>
    <t>◎健康のために何をしていますか。</t>
  </si>
  <si>
    <t>◎あなたはどのような地域活動、同好会、ボランティア、町内会をされてますか。活動内容や活動を通じて感じたこと。</t>
  </si>
  <si>
    <t>◎思い出に残る旅行、またはこれからしてみたい旅行。</t>
  </si>
  <si>
    <t>◎手話を学ぶようになったきっかけ。</t>
  </si>
  <si>
    <t>◎健康に気をつけていることを話してください。</t>
  </si>
  <si>
    <t>https://ameblo.jp/motohiko-in-kumano-2013/entry-12823059933.html?frm=theme</t>
    <phoneticPr fontId="3"/>
  </si>
  <si>
    <t xml:space="preserve">◎近所づきあいや友達のつきあいについて話してください。 </t>
  </si>
  <si>
    <t>◎スポーツについて自由に話してください。</t>
  </si>
  <si>
    <t>◎今、頑張っていることを話してください。</t>
  </si>
  <si>
    <t>◎今までで楽しかった思い出を話してください。</t>
  </si>
  <si>
    <t>◎一番うれしかった思い出を話してください。</t>
  </si>
  <si>
    <t>◎あなたが健康に気をつけていること。</t>
  </si>
  <si>
    <t>◎先月のこと、去年のこと、家族旅行のことについて</t>
  </si>
  <si>
    <t>◎日常生活について。</t>
  </si>
  <si>
    <t>◎地域の行事について: 子ども会</t>
  </si>
  <si>
    <t>◎地域の行事について: 町内会</t>
  </si>
  <si>
    <t>◎地域の行事について: 夏まつり</t>
  </si>
  <si>
    <t>◎学生時代の思い出を話してください。</t>
  </si>
  <si>
    <t>◎地域の行事について: 運動会</t>
  </si>
  <si>
    <t>◎夏バテや熱中症を防ぐためにどんなことに気を付けましたか。</t>
  </si>
  <si>
    <t>◎あなたの将来の夢について。</t>
  </si>
  <si>
    <t>◎自分または家族の「得意なこと」「苦手なこと」を話してください。</t>
  </si>
  <si>
    <t>https://ameblo.jp/motohiko-in-kumano-2013/entry-12822949492.html?frm=theme</t>
  </si>
  <si>
    <t>◎自分のことまたは家族のことを話してください。</t>
  </si>
  <si>
    <t>◎自分または家族の好きなこと嫌いなこと。</t>
  </si>
  <si>
    <t>◎自分または家族の趣味について話してください。</t>
  </si>
  <si>
    <t>◎自己紹介をしてください</t>
  </si>
  <si>
    <t>◎あなたの好きなもの、嫌いなもの。</t>
  </si>
  <si>
    <t>◎自己紹介をしてください。</t>
  </si>
  <si>
    <t>◎自分の趣味について。</t>
  </si>
  <si>
    <t>◎自分のことを話してください。</t>
  </si>
  <si>
    <t>◎自分または家族、友人の趣味について。</t>
  </si>
  <si>
    <t>Question</t>
    <phoneticPr fontId="3"/>
  </si>
  <si>
    <t>Option</t>
    <phoneticPr fontId="3"/>
  </si>
  <si>
    <t>Detail</t>
    <phoneticPr fontId="3"/>
  </si>
  <si>
    <t>手話は聴覚障害者にとって重要な言語でありコミュニケーション手段ですが、手話の分からない難聴者にとって効果的な情報提供の手段はどれですか。</t>
    <rPh sb="0" eb="2">
      <t>シ;</t>
    </rPh>
    <rPh sb="3" eb="8">
      <t>チョウカクショ;シャ</t>
    </rPh>
    <rPh sb="12" eb="14">
      <t>ジュウヨウ</t>
    </rPh>
    <rPh sb="15" eb="17">
      <t>ゲンゴ</t>
    </rPh>
    <rPh sb="29" eb="31">
      <t>シュダン</t>
    </rPh>
    <rPh sb="35" eb="37">
      <t>シ;</t>
    </rPh>
    <rPh sb="38" eb="43">
      <t>ワs</t>
    </rPh>
    <rPh sb="43" eb="46">
      <t>ナンチョウシャ</t>
    </rPh>
    <rPh sb="50" eb="53">
      <t>コウカテキ</t>
    </rPh>
    <rPh sb="54" eb="58">
      <t>ジョ;テイキョウ</t>
    </rPh>
    <rPh sb="59" eb="61">
      <t>シュダン</t>
    </rPh>
    <phoneticPr fontId="3"/>
  </si>
  <si>
    <t>1. 触手話
2. 要約筆記
3. 点字通訳
4. 指文字</t>
    <rPh sb="3" eb="6">
      <t>ショクシュワ</t>
    </rPh>
    <rPh sb="10" eb="14">
      <t>ヨウヤクヒッキ</t>
    </rPh>
    <rPh sb="18" eb="20">
      <t>テンジ</t>
    </rPh>
    <rPh sb="20" eb="22">
      <t>ツウヤク</t>
    </rPh>
    <rPh sb="26" eb="29">
      <t>ユビモジ</t>
    </rPh>
    <phoneticPr fontId="3"/>
  </si>
  <si>
    <t>聴覚障害者とのコミュニケーションについて記述で適切なものはどれですか。</t>
    <rPh sb="0" eb="5">
      <t>チョウカクショ;シャ</t>
    </rPh>
    <rPh sb="20" eb="22">
      <t>キジュツ</t>
    </rPh>
    <rPh sb="23" eb="25">
      <t>テキセツ</t>
    </rPh>
    <phoneticPr fontId="3"/>
  </si>
  <si>
    <t>1. 話し手の表情や口元が見える位置や顔の向きを考えて話すのがいい
2. 筆談は簡単な文章がいいので、漢字は使わずひらがなで書くのがいい
3. 空所は分かりやすいので、多用するほうがいい
4. 手話を使うときは口型は全くつけない方がいい</t>
    <rPh sb="3" eb="4">
      <t>ハナ</t>
    </rPh>
    <rPh sb="5" eb="6">
      <t>テ</t>
    </rPh>
    <rPh sb="7" eb="9">
      <t>ヒョウジョウ</t>
    </rPh>
    <rPh sb="10" eb="12">
      <t>クチモト</t>
    </rPh>
    <rPh sb="13" eb="14">
      <t>ミ</t>
    </rPh>
    <rPh sb="16" eb="18">
      <t>イチ</t>
    </rPh>
    <rPh sb="19" eb="20">
      <t>カオ</t>
    </rPh>
    <rPh sb="21" eb="22">
      <t>ム</t>
    </rPh>
    <rPh sb="24" eb="25">
      <t>カンガ</t>
    </rPh>
    <rPh sb="27" eb="28">
      <t>ハナ</t>
    </rPh>
    <rPh sb="37" eb="39">
      <t>ヒツダン</t>
    </rPh>
    <rPh sb="40" eb="42">
      <t>カンタン</t>
    </rPh>
    <rPh sb="72" eb="74">
      <t>クウショ</t>
    </rPh>
    <rPh sb="75" eb="76">
      <t>ワ</t>
    </rPh>
    <rPh sb="84" eb="86">
      <t>タヨウ</t>
    </rPh>
    <rPh sb="97" eb="99">
      <t>シュワ</t>
    </rPh>
    <rPh sb="100" eb="101">
      <t>ツカ</t>
    </rPh>
    <rPh sb="105" eb="107">
      <t>コウケイ</t>
    </rPh>
    <rPh sb="108" eb="109">
      <t>マッタ</t>
    </rPh>
    <rPh sb="114" eb="115">
      <t>ホウ</t>
    </rPh>
    <phoneticPr fontId="3"/>
  </si>
  <si>
    <t>日本語の五十音に合わせた指文字のうち、アメリカの指文字を参考に作られたものはどれですか。</t>
    <rPh sb="0" eb="3">
      <t>ン;ゴ</t>
    </rPh>
    <rPh sb="4" eb="7">
      <t>ゴジュウオン</t>
    </rPh>
    <rPh sb="8" eb="9">
      <t>ア</t>
    </rPh>
    <rPh sb="12" eb="13">
      <t>ユビ</t>
    </rPh>
    <rPh sb="13" eb="15">
      <t>モジ</t>
    </rPh>
    <rPh sb="24" eb="27">
      <t>ユビモジ</t>
    </rPh>
    <rPh sb="28" eb="30">
      <t>サンコウ</t>
    </rPh>
    <rPh sb="31" eb="32">
      <t>ツク</t>
    </rPh>
    <phoneticPr fontId="3"/>
  </si>
  <si>
    <t>1. コ
2. ク
3. セ
4. ラ</t>
    <phoneticPr fontId="3"/>
  </si>
  <si>
    <t>手話に関する記述について正しくないものはどれですか。</t>
    <rPh sb="0" eb="2">
      <t>シ;</t>
    </rPh>
    <rPh sb="3" eb="4">
      <t>カン</t>
    </rPh>
    <rPh sb="6" eb="8">
      <t>キジュツ</t>
    </rPh>
    <rPh sb="12" eb="13">
      <t>タダ</t>
    </rPh>
    <phoneticPr fontId="3"/>
  </si>
  <si>
    <t>1. 手話には文法がある
2. 手話はどの国も同じである
3. 手話は伝承することができる
4. 手話には方言がある</t>
    <rPh sb="3" eb="5">
      <t>シュワ</t>
    </rPh>
    <rPh sb="7" eb="9">
      <t>ブンポウ</t>
    </rPh>
    <rPh sb="16" eb="18">
      <t>シ;</t>
    </rPh>
    <rPh sb="21" eb="22">
      <t>クニ</t>
    </rPh>
    <rPh sb="23" eb="24">
      <t>オナ</t>
    </rPh>
    <rPh sb="32" eb="34">
      <t>シ;</t>
    </rPh>
    <rPh sb="35" eb="37">
      <t>デンショウ</t>
    </rPh>
    <rPh sb="49" eb="51">
      <t>シ;</t>
    </rPh>
    <rPh sb="53" eb="55">
      <t>ホウゲン</t>
    </rPh>
    <phoneticPr fontId="3"/>
  </si>
  <si>
    <t>聴覚障害者に多い感音性難聴の特徴として正しくないものはどれですか。</t>
    <rPh sb="0" eb="5">
      <t>チョウカクショ;シャ</t>
    </rPh>
    <rPh sb="6" eb="7">
      <t>オオ</t>
    </rPh>
    <rPh sb="8" eb="13">
      <t>カンオンセイナンチョウ</t>
    </rPh>
    <rPh sb="14" eb="16">
      <t>トクチョウ</t>
    </rPh>
    <rPh sb="19" eb="20">
      <t>タダ</t>
    </rPh>
    <phoneticPr fontId="3"/>
  </si>
  <si>
    <t>1. 補聴器を使用すると音の聞き分けが良くなる
2. 大きい音がうるさく聞こえる
3. 小さい音が聞こえない
4. 話し言葉の弁別がしにくい</t>
    <rPh sb="3" eb="6">
      <t>ホチョウキ</t>
    </rPh>
    <rPh sb="7" eb="9">
      <t>シヨウ</t>
    </rPh>
    <rPh sb="12" eb="13">
      <t>オト</t>
    </rPh>
    <rPh sb="14" eb="15">
      <t>キ</t>
    </rPh>
    <rPh sb="16" eb="17">
      <t>ワ</t>
    </rPh>
    <rPh sb="19" eb="20">
      <t>ヨ</t>
    </rPh>
    <rPh sb="27" eb="28">
      <t>オオ</t>
    </rPh>
    <rPh sb="30" eb="31">
      <t>オト</t>
    </rPh>
    <rPh sb="36" eb="37">
      <t>キ</t>
    </rPh>
    <rPh sb="44" eb="45">
      <t>チイ</t>
    </rPh>
    <rPh sb="47" eb="48">
      <t>オト</t>
    </rPh>
    <rPh sb="49" eb="50">
      <t>キ</t>
    </rPh>
    <rPh sb="58" eb="59">
      <t>ハナ</t>
    </rPh>
    <rPh sb="60" eb="62">
      <t>コトバ</t>
    </rPh>
    <rPh sb="63" eb="65">
      <t>ベンベツ</t>
    </rPh>
    <phoneticPr fontId="3"/>
  </si>
  <si>
    <t>全日本ろうあ連盟は日本障害フォーラムという団体とともに、ある条約の批准に取り組みました。その条約とはなんですか。</t>
    <rPh sb="0" eb="3">
      <t>ゼンン;</t>
    </rPh>
    <rPh sb="6" eb="8">
      <t>レンメイ</t>
    </rPh>
    <rPh sb="9" eb="13">
      <t>ン;ショ;</t>
    </rPh>
    <rPh sb="21" eb="23">
      <t>ダンタイ</t>
    </rPh>
    <rPh sb="30" eb="32">
      <t>ジョウヤク</t>
    </rPh>
    <rPh sb="33" eb="35">
      <t>ヒジュン</t>
    </rPh>
    <rPh sb="36" eb="37">
      <t>ト</t>
    </rPh>
    <rPh sb="38" eb="39">
      <t>ク</t>
    </rPh>
    <rPh sb="46" eb="48">
      <t>ジョウヤク</t>
    </rPh>
    <phoneticPr fontId="3"/>
  </si>
  <si>
    <t>1. 障害者差別撤廃条約
2. 子どもの権利条約
3. 障害者権利条約
4. 女性差別撤廃条約</t>
    <rPh sb="3" eb="12">
      <t>ショ;シャサベツテッパイジョウヤク</t>
    </rPh>
    <rPh sb="16" eb="17">
      <t>コ</t>
    </rPh>
    <rPh sb="20" eb="24">
      <t>ケンリジョウヤク</t>
    </rPh>
    <rPh sb="28" eb="35">
      <t>ショ;シャケンリジョウヤク</t>
    </rPh>
    <rPh sb="39" eb="47">
      <t>ジョセイサベツテッパイジョウヤク</t>
    </rPh>
    <phoneticPr fontId="3"/>
  </si>
  <si>
    <t>ピア・カウセリングとはなんですか。</t>
    <phoneticPr fontId="3"/>
  </si>
  <si>
    <t>1. いつも同じ人が継続的なミーティングの中で語り合いをするカウンセリング
2. 夫婦の間の問題解決のために2人で受けるカウンセリング
3. 同じ立場や障害を持っている人同士で行うカウンセリング
4. 日頃悩んでいる家庭のこと・仕事のこと・病気のことなどについてメールで受けるカウンセリング</t>
    <rPh sb="6" eb="7">
      <t>オナ</t>
    </rPh>
    <rPh sb="8" eb="9">
      <t>r</t>
    </rPh>
    <rPh sb="10" eb="13">
      <t>ケイゾクテキ</t>
    </rPh>
    <rPh sb="21" eb="22">
      <t>ナカ</t>
    </rPh>
    <rPh sb="23" eb="24">
      <t>カタ</t>
    </rPh>
    <rPh sb="25" eb="26">
      <t>ア</t>
    </rPh>
    <rPh sb="41" eb="43">
      <t>フウフ</t>
    </rPh>
    <rPh sb="44" eb="45">
      <t>アイダ</t>
    </rPh>
    <rPh sb="46" eb="48">
      <t>モンダイ</t>
    </rPh>
    <rPh sb="48" eb="50">
      <t>カイケツ</t>
    </rPh>
    <rPh sb="55" eb="56">
      <t>r</t>
    </rPh>
    <rPh sb="57" eb="58">
      <t>ウ</t>
    </rPh>
    <rPh sb="71" eb="72">
      <t>オナ</t>
    </rPh>
    <rPh sb="73" eb="75">
      <t>タチバ</t>
    </rPh>
    <rPh sb="76" eb="78">
      <t>ショ;</t>
    </rPh>
    <rPh sb="79" eb="80">
      <t>モ</t>
    </rPh>
    <rPh sb="84" eb="85">
      <t>r</t>
    </rPh>
    <rPh sb="85" eb="87">
      <t>ドウシ</t>
    </rPh>
    <rPh sb="88" eb="89">
      <t>g;</t>
    </rPh>
    <rPh sb="101" eb="104">
      <t>ヒゴロナヤ</t>
    </rPh>
    <rPh sb="108" eb="110">
      <t>カテイ</t>
    </rPh>
    <rPh sb="114" eb="127">
      <t>シゴトノコト･ビョウキノコトンd</t>
    </rPh>
    <rPh sb="135" eb="136">
      <t>ウ</t>
    </rPh>
    <phoneticPr fontId="3"/>
  </si>
  <si>
    <t>手話協力員は聴覚障害者の雇用を推進するために公共職業安定所に配置されていますが、管轄する省庁はどこですか？</t>
    <rPh sb="0" eb="5">
      <t>シ;キョウリョクイン</t>
    </rPh>
    <rPh sb="6" eb="11">
      <t>チョウカクショ;シャ</t>
    </rPh>
    <rPh sb="12" eb="14">
      <t>コヨウ</t>
    </rPh>
    <rPh sb="15" eb="17">
      <t>スイシン</t>
    </rPh>
    <rPh sb="22" eb="29">
      <t>コウキョウショクギョウアンテイジョ</t>
    </rPh>
    <rPh sb="30" eb="32">
      <t>ハイチ</t>
    </rPh>
    <rPh sb="40" eb="42">
      <t>カンカツ</t>
    </rPh>
    <rPh sb="44" eb="46">
      <t>ショウチョウ</t>
    </rPh>
    <phoneticPr fontId="3"/>
  </si>
  <si>
    <t>1. 総務省
2. 文部科学省
3. 厚生労働省
4. 国土交通省</t>
    <rPh sb="3" eb="6">
      <t>ソウムショウ</t>
    </rPh>
    <rPh sb="10" eb="15">
      <t>モンブカガクショウ</t>
    </rPh>
    <rPh sb="19" eb="24">
      <t>コウセイロウドウショウ</t>
    </rPh>
    <rPh sb="28" eb="33">
      <t>コクドコウツウショウ</t>
    </rPh>
    <phoneticPr fontId="3"/>
  </si>
  <si>
    <t>障害者福祉の動向を見ると国際的にも国内においても1981年の国際障害者年賀大きなきっかけとなって進展しています。この国際障害者年のテーマはなんですか。</t>
    <rPh sb="0" eb="5">
      <t>ショ;シャフクシ</t>
    </rPh>
    <rPh sb="6" eb="8">
      <t>ドウコウ</t>
    </rPh>
    <rPh sb="9" eb="10">
      <t>ミ</t>
    </rPh>
    <rPh sb="12" eb="15">
      <t>コクサイテキ</t>
    </rPh>
    <rPh sb="17" eb="19">
      <t>コクナイ</t>
    </rPh>
    <rPh sb="28" eb="29">
      <t>ネン</t>
    </rPh>
    <rPh sb="30" eb="37">
      <t>コクサイショ;シャネンガ</t>
    </rPh>
    <rPh sb="37" eb="38">
      <t>オオ</t>
    </rPh>
    <rPh sb="48" eb="50">
      <t>シンテン</t>
    </rPh>
    <rPh sb="58" eb="60">
      <t>コクサイ</t>
    </rPh>
    <rPh sb="60" eb="63">
      <t>ショ;シャ</t>
    </rPh>
    <rPh sb="63" eb="64">
      <t>ネン</t>
    </rPh>
    <phoneticPr fontId="3"/>
  </si>
  <si>
    <t>1. 出会い、触れあい、心の輪
2. 壁を取り払い、扉を開こう: すべての人々が参加できる社会のために
3. わたしたち抜きで私たちのことを決めるな
4. 完全参加と平等</t>
    <rPh sb="3" eb="15">
      <t>デアイ､フレアイ､h;ノワ</t>
    </rPh>
    <rPh sb="19" eb="20">
      <t>カベ</t>
    </rPh>
    <rPh sb="21" eb="22">
      <t>ト</t>
    </rPh>
    <rPh sb="23" eb="24">
      <t>ハラ</t>
    </rPh>
    <rPh sb="26" eb="27">
      <t>トビラ</t>
    </rPh>
    <rPh sb="28" eb="29">
      <t>ヒラ</t>
    </rPh>
    <rPh sb="37" eb="47">
      <t>rrガサンカデキルシャカイ</t>
    </rPh>
    <rPh sb="60" eb="61">
      <t>ヌ</t>
    </rPh>
    <rPh sb="63" eb="66">
      <t>wt</t>
    </rPh>
    <rPh sb="70" eb="71">
      <t>キ</t>
    </rPh>
    <rPh sb="78" eb="80">
      <t>カz</t>
    </rPh>
    <rPh sb="80" eb="82">
      <t>サンカ</t>
    </rPh>
    <rPh sb="83" eb="85">
      <t>ビョウドウ</t>
    </rPh>
    <phoneticPr fontId="3"/>
  </si>
  <si>
    <t>手話通訳者の専門性が十分に理解されないために労働条件が整わず、過度の労働党で通訳者の健康問題も起きています。この手話通訳者の代表的な健康障害はなんですか。</t>
    <rPh sb="0" eb="5">
      <t>シ;ツウヤクシャ</t>
    </rPh>
    <rPh sb="6" eb="9">
      <t>センモンセイ</t>
    </rPh>
    <rPh sb="10" eb="12">
      <t>ジュウf</t>
    </rPh>
    <rPh sb="13" eb="15">
      <t>リカイ</t>
    </rPh>
    <rPh sb="22" eb="26">
      <t>ロウドウジョウケン</t>
    </rPh>
    <rPh sb="27" eb="28">
      <t>トトノ</t>
    </rPh>
    <rPh sb="31" eb="33">
      <t>カド</t>
    </rPh>
    <rPh sb="34" eb="37">
      <t>ロウドウトウ</t>
    </rPh>
    <rPh sb="38" eb="41">
      <t>ツウヤクシャ</t>
    </rPh>
    <rPh sb="42" eb="54">
      <t>ケンコウモンダイモオキテイm;</t>
    </rPh>
    <rPh sb="56" eb="61">
      <t>シ;ツウヤクシャ</t>
    </rPh>
    <rPh sb="62" eb="77">
      <t>ダイヒョウテキナケンコウショ;ハナンdk</t>
    </rPh>
    <phoneticPr fontId="3"/>
  </si>
  <si>
    <t>1. 高次脳機能障害
2. 頸肩腕障害
3. 言語障害
4. 肝機能障害</t>
    <rPh sb="3" eb="10">
      <t>コウジノウキノウショ;</t>
    </rPh>
    <rPh sb="14" eb="19">
      <t>ケイケンワンショウガイ</t>
    </rPh>
    <rPh sb="23" eb="27">
      <t>ゲンゴショ;</t>
    </rPh>
    <rPh sb="31" eb="36">
      <t>カンキノウショ;</t>
    </rPh>
    <phoneticPr fontId="3"/>
  </si>
  <si>
    <t>4年に1度、夏季大会と冬季大会がそれぞれ開催される聴覚障害者のための国際総合競技大会はなんですか。</t>
    <rPh sb="1" eb="2">
      <t>ネン</t>
    </rPh>
    <rPh sb="4" eb="5">
      <t>ド</t>
    </rPh>
    <rPh sb="20" eb="22">
      <t>カイサイ</t>
    </rPh>
    <rPh sb="25" eb="30">
      <t>チョウカクショ;シャ</t>
    </rPh>
    <rPh sb="34" eb="42">
      <t>コクサイソウゴウキョウギタイカイ</t>
    </rPh>
    <phoneticPr fontId="3"/>
  </si>
  <si>
    <t>1. デフリンピック
2. パラリンピック
3. オリンピック
4. アビリンピック</t>
    <phoneticPr fontId="3"/>
  </si>
  <si>
    <t>2013年に日本初の手話言語条例を制定し、毎年「全国高校生手話パフォーマンス甲子園」を開催している都道府県はどこですか？</t>
    <rPh sb="4" eb="5">
      <t>ネン</t>
    </rPh>
    <rPh sb="6" eb="9">
      <t>ニホンハツ</t>
    </rPh>
    <rPh sb="10" eb="16">
      <t>シ;ゲンゴジョウレイ</t>
    </rPh>
    <rPh sb="17" eb="19">
      <t>セイテイ</t>
    </rPh>
    <rPh sb="21" eb="23">
      <t>マイトシ</t>
    </rPh>
    <rPh sb="24" eb="31">
      <t>ゼンコクコウコウセイシ;</t>
    </rPh>
    <rPh sb="34" eb="41">
      <t>;コウシエン</t>
    </rPh>
    <rPh sb="43" eb="45">
      <t>カイサイ</t>
    </rPh>
    <rPh sb="49" eb="53">
      <t>トドウフケン</t>
    </rPh>
    <phoneticPr fontId="3"/>
  </si>
  <si>
    <t>1. 北海道
2. 神奈川県
3. 鳥取県
4. 福岡県</t>
    <rPh sb="3" eb="6">
      <t>ホッカイドウ</t>
    </rPh>
    <rPh sb="10" eb="14">
      <t>カナガワケン</t>
    </rPh>
    <rPh sb="18" eb="21">
      <t>トットリケン</t>
    </rPh>
    <rPh sb="25" eb="28">
      <t>フクオカケン</t>
    </rPh>
    <phoneticPr fontId="3"/>
  </si>
  <si>
    <t>字幕付き映像ライブラリ政策・貸出などの情報提供サービスや手話通訳派遣などのコミュニケーション支援機能を持たせた、身体障害者福祉法に定められた施設の名称はなんですか。</t>
    <rPh sb="0" eb="3">
      <t>ジマクツ</t>
    </rPh>
    <rPh sb="4" eb="6">
      <t>エイゾウ</t>
    </rPh>
    <rPh sb="11" eb="13">
      <t>セイサク</t>
    </rPh>
    <rPh sb="14" eb="16">
      <t>カシダシ</t>
    </rPh>
    <rPh sb="19" eb="21">
      <t>ジョウホウ</t>
    </rPh>
    <rPh sb="21" eb="23">
      <t>テイキョウ</t>
    </rPh>
    <rPh sb="28" eb="30">
      <t>シュワ</t>
    </rPh>
    <rPh sb="30" eb="32">
      <t>ツウヤク</t>
    </rPh>
    <rPh sb="32" eb="34">
      <t>ハケン</t>
    </rPh>
    <rPh sb="46" eb="48">
      <t>シエン</t>
    </rPh>
    <rPh sb="48" eb="50">
      <t>キノウ</t>
    </rPh>
    <rPh sb="51" eb="52">
      <t>モ</t>
    </rPh>
    <rPh sb="56" eb="58">
      <t>シンタイ</t>
    </rPh>
    <rPh sb="58" eb="60">
      <t>ショウガイ</t>
    </rPh>
    <rPh sb="60" eb="61">
      <t>シャ</t>
    </rPh>
    <rPh sb="61" eb="63">
      <t>フクシ</t>
    </rPh>
    <rPh sb="63" eb="64">
      <t>ホウ</t>
    </rPh>
    <rPh sb="65" eb="66">
      <t>サダ</t>
    </rPh>
    <rPh sb="70" eb="72">
      <t>シセツ</t>
    </rPh>
    <rPh sb="73" eb="75">
      <t>メイショウ</t>
    </rPh>
    <phoneticPr fontId="3"/>
  </si>
  <si>
    <t>1. 聴覚言語障害センター
2. 聴覚障害者情報センター
3. 聴覚障害者情報提供施設
4. 聴覚障害者手話通訳派遣センター</t>
    <rPh sb="3" eb="9">
      <t>チョウカクゲンゴショ;</t>
    </rPh>
    <rPh sb="17" eb="22">
      <t>チョウカクショ;シャ</t>
    </rPh>
    <rPh sb="22" eb="24">
      <t>ジョ;</t>
    </rPh>
    <rPh sb="32" eb="43">
      <t>チョウカクショ;シャジョ;テイキョウシセツ</t>
    </rPh>
    <rPh sb="47" eb="58">
      <t>チョウカクショ;シャシ;ツウヤクハケン</t>
    </rPh>
    <phoneticPr fontId="3"/>
  </si>
  <si>
    <t>1. 人権週間
2. 教育週間
3. 福祉週間
4. 障害者週間</t>
    <rPh sb="3" eb="5">
      <t>ジンケン</t>
    </rPh>
    <rPh sb="5" eb="7">
      <t>シュウカン</t>
    </rPh>
    <rPh sb="11" eb="13">
      <t>キョウイク</t>
    </rPh>
    <rPh sb="13" eb="15">
      <t>シュウカン</t>
    </rPh>
    <rPh sb="19" eb="21">
      <t>フクシ</t>
    </rPh>
    <rPh sb="21" eb="23">
      <t>シュウカン</t>
    </rPh>
    <rPh sb="27" eb="29">
      <t>ショ；</t>
    </rPh>
    <rPh sb="29" eb="30">
      <t>シャ</t>
    </rPh>
    <rPh sb="30" eb="32">
      <t>シュウカン</t>
    </rPh>
    <phoneticPr fontId="3"/>
  </si>
  <si>
    <t>障害者基本法に基づき、国民に障害者の福祉についての関心と理解を深めることを目的として毎年12月3日から9日まで実施されているのはなんですか。</t>
    <rPh sb="0" eb="2">
      <t>ショ；</t>
    </rPh>
    <rPh sb="2" eb="3">
      <t>シャ</t>
    </rPh>
    <rPh sb="3" eb="6">
      <t>キホンホウ</t>
    </rPh>
    <rPh sb="7" eb="8">
      <t>モト</t>
    </rPh>
    <rPh sb="11" eb="13">
      <t>コクミン</t>
    </rPh>
    <rPh sb="14" eb="16">
      <t>ショ；</t>
    </rPh>
    <rPh sb="16" eb="17">
      <t>シャ</t>
    </rPh>
    <rPh sb="18" eb="20">
      <t>フクシ</t>
    </rPh>
    <rPh sb="25" eb="27">
      <t>カンシン</t>
    </rPh>
    <rPh sb="28" eb="30">
      <t>リカイ</t>
    </rPh>
    <rPh sb="31" eb="32">
      <t>フカ</t>
    </rPh>
    <rPh sb="37" eb="39">
      <t>モクテキ</t>
    </rPh>
    <rPh sb="42" eb="44">
      <t>マイトシ</t>
    </rPh>
    <rPh sb="46" eb="47">
      <t>ガツ</t>
    </rPh>
    <rPh sb="48" eb="49">
      <t>h</t>
    </rPh>
    <rPh sb="52" eb="53">
      <t>h</t>
    </rPh>
    <rPh sb="55" eb="57">
      <t>ジッシ</t>
    </rPh>
    <phoneticPr fontId="3"/>
  </si>
  <si>
    <t>障害者の雇用の促進等に関する法律において一定の従業員数がいる事業所は法律で定められた割合以上の障害者を雇用する必要があります。その割合を何と言いますか。</t>
    <rPh sb="0" eb="3">
      <t>ショ;シャ</t>
    </rPh>
    <rPh sb="4" eb="6">
      <t>コヨウ</t>
    </rPh>
    <rPh sb="7" eb="10">
      <t>ソクシントウ</t>
    </rPh>
    <rPh sb="11" eb="12">
      <t>カン</t>
    </rPh>
    <rPh sb="14" eb="16">
      <t>ホウリツ</t>
    </rPh>
    <rPh sb="20" eb="22">
      <t>イッテイ</t>
    </rPh>
    <rPh sb="23" eb="27">
      <t>ジュウギョウインスウ</t>
    </rPh>
    <rPh sb="30" eb="33">
      <t>ジギョウショ</t>
    </rPh>
    <rPh sb="34" eb="36">
      <t>ホウリツ</t>
    </rPh>
    <rPh sb="37" eb="38">
      <t>サダ</t>
    </rPh>
    <rPh sb="42" eb="44">
      <t>ワリアイ</t>
    </rPh>
    <rPh sb="44" eb="46">
      <t>イジョウ</t>
    </rPh>
    <rPh sb="47" eb="49">
      <t>ショ；</t>
    </rPh>
    <rPh sb="49" eb="50">
      <t>シャ</t>
    </rPh>
    <rPh sb="51" eb="53">
      <t>コヨウ</t>
    </rPh>
    <rPh sb="55" eb="57">
      <t>ヒツヨウ</t>
    </rPh>
    <rPh sb="65" eb="67">
      <t>ワリアイ</t>
    </rPh>
    <rPh sb="68" eb="69">
      <t>ナン</t>
    </rPh>
    <rPh sb="70" eb="71">
      <t>イ</t>
    </rPh>
    <phoneticPr fontId="3"/>
  </si>
  <si>
    <t>1. 義務雇用率
2. 法定雇用率
3. 目標雇用率
4. 最低雇用率</t>
    <rPh sb="3" eb="8">
      <t>ギムコヨウリツ</t>
    </rPh>
    <rPh sb="12" eb="17">
      <t>ホウテイコヨウリツ</t>
    </rPh>
    <rPh sb="21" eb="26">
      <t>モk;コヨウリツ</t>
    </rPh>
    <rPh sb="30" eb="35">
      <t>サイテイコヨウリツ</t>
    </rPh>
    <phoneticPr fontId="3"/>
  </si>
  <si>
    <t>指文字について正しいものはどれですか。</t>
    <rPh sb="0" eb="3">
      <t>ユビモジ</t>
    </rPh>
    <rPh sb="7" eb="8">
      <t>タダ</t>
    </rPh>
    <phoneticPr fontId="3"/>
  </si>
  <si>
    <t>1. 手話の語彙の一部になることがある
2. 主にカタカナで書かれる言葉について表現するためのものである
3. 指文字は年々改良されている
4. 五十音に対応しているが、「が」などの濁音は表現できない</t>
    <rPh sb="3" eb="5">
      <t>シ;</t>
    </rPh>
    <rPh sb="6" eb="8">
      <t>ゴイ</t>
    </rPh>
    <rPh sb="9" eb="11">
      <t>イチブ</t>
    </rPh>
    <rPh sb="23" eb="24">
      <t>オモ</t>
    </rPh>
    <rPh sb="30" eb="31">
      <t>カ</t>
    </rPh>
    <rPh sb="34" eb="36">
      <t>コトバ</t>
    </rPh>
    <rPh sb="40" eb="42">
      <t>ヒ;</t>
    </rPh>
    <rPh sb="56" eb="59">
      <t>ユビモジ</t>
    </rPh>
    <rPh sb="60" eb="64">
      <t>ネンネンカイリョウ</t>
    </rPh>
    <rPh sb="73" eb="76">
      <t>ゴジュウオン</t>
    </rPh>
    <rPh sb="77" eb="79">
      <t>タl</t>
    </rPh>
    <rPh sb="91" eb="93">
      <t>ダクオン</t>
    </rPh>
    <rPh sb="94" eb="96">
      <t>ヒ;</t>
    </rPh>
    <phoneticPr fontId="3"/>
  </si>
  <si>
    <t>手話で表現した場合、手の形と位置は同じだが、手の動きだけが異なっている語の組み合わせはどれですか。</t>
    <rPh sb="0" eb="2">
      <t>シ;</t>
    </rPh>
    <rPh sb="3" eb="5">
      <t>ヒ;</t>
    </rPh>
    <rPh sb="7" eb="9">
      <t>バアイ</t>
    </rPh>
    <rPh sb="10" eb="11">
      <t>テ</t>
    </rPh>
    <rPh sb="12" eb="13">
      <t>sh</t>
    </rPh>
    <rPh sb="14" eb="16">
      <t>イチ</t>
    </rPh>
    <rPh sb="17" eb="18">
      <t>オナ</t>
    </rPh>
    <rPh sb="22" eb="23">
      <t>テ</t>
    </rPh>
    <rPh sb="24" eb="25">
      <t>ウゴ</t>
    </rPh>
    <rPh sb="29" eb="30">
      <t>コト</t>
    </rPh>
    <rPh sb="35" eb="36">
      <t>ゴ</t>
    </rPh>
    <rPh sb="37" eb="38">
      <t>ク</t>
    </rPh>
    <rPh sb="39" eb="40">
      <t>ア</t>
    </rPh>
    <phoneticPr fontId="3"/>
  </si>
  <si>
    <t>1. 経済と商売
2. 遊びと会社
3. 姉と弟
4. 考えると私</t>
    <rPh sb="3" eb="5">
      <t>ケイザイ</t>
    </rPh>
    <rPh sb="6" eb="8">
      <t>ショウバイ</t>
    </rPh>
    <rPh sb="12" eb="13">
      <t>アソ</t>
    </rPh>
    <rPh sb="15" eb="17">
      <t>カイシャ</t>
    </rPh>
    <rPh sb="21" eb="22">
      <t>アネ</t>
    </rPh>
    <rPh sb="23" eb="24">
      <t>オトウト</t>
    </rPh>
    <rPh sb="28" eb="29">
      <t>カンガ</t>
    </rPh>
    <rPh sb="32" eb="33">
      <t>w</t>
    </rPh>
    <phoneticPr fontId="3"/>
  </si>
  <si>
    <t>都道府県の手話で名所から作られたものはどれですか。</t>
    <rPh sb="0" eb="4">
      <t>トドウフケン</t>
    </rPh>
    <rPh sb="5" eb="7">
      <t>シ;</t>
    </rPh>
    <rPh sb="8" eb="10">
      <t>メイショ</t>
    </rPh>
    <rPh sb="12" eb="13">
      <t>ツク</t>
    </rPh>
    <phoneticPr fontId="3"/>
  </si>
  <si>
    <t>1. 香川
2. 広島
3. 長野
4. 秋田</t>
    <rPh sb="3" eb="5">
      <t>カガワ</t>
    </rPh>
    <rPh sb="9" eb="11">
      <t>ヒロシマ</t>
    </rPh>
    <rPh sb="15" eb="17">
      <t>ナガノ</t>
    </rPh>
    <rPh sb="21" eb="23">
      <t>アキタ</t>
    </rPh>
    <phoneticPr fontId="3"/>
  </si>
  <si>
    <t>次の語のうちで1つだけ両手を使わない手話表現があります。それはどれですか。</t>
    <rPh sb="0" eb="27">
      <t>ツギノゴノウチデ1ツダケリョウテヲツカワナイシ;ヒ;ガアr</t>
    </rPh>
    <phoneticPr fontId="3"/>
  </si>
  <si>
    <t>1. 気温
2. プライバシー
3. オーバー
4. 詳細</t>
    <rPh sb="3" eb="5">
      <t>キオン</t>
    </rPh>
    <rPh sb="27" eb="29">
      <t>ショウサイ</t>
    </rPh>
    <phoneticPr fontId="3"/>
  </si>
  <si>
    <t>次の言葉を手話で表現した時、両手の形が異なるものはどれですか。</t>
    <rPh sb="0" eb="1">
      <t>ツギ</t>
    </rPh>
    <rPh sb="2" eb="4">
      <t>コトバ</t>
    </rPh>
    <rPh sb="5" eb="7">
      <t>シ;</t>
    </rPh>
    <rPh sb="8" eb="10">
      <t>ヒ;</t>
    </rPh>
    <rPh sb="12" eb="13">
      <t>トキ</t>
    </rPh>
    <rPh sb="14" eb="16">
      <t>リョウテ</t>
    </rPh>
    <rPh sb="17" eb="18">
      <t>sh</t>
    </rPh>
    <rPh sb="19" eb="20">
      <t>コト</t>
    </rPh>
    <phoneticPr fontId="3"/>
  </si>
  <si>
    <t>1. 生きる
2. 訓練
3. 基準
4. 材料</t>
    <rPh sb="3" eb="4">
      <t>イ</t>
    </rPh>
    <rPh sb="10" eb="12">
      <t>クンレン</t>
    </rPh>
    <rPh sb="16" eb="18">
      <t>キジュン</t>
    </rPh>
    <rPh sb="22" eb="24">
      <t>ザイリョウ</t>
    </rPh>
    <phoneticPr fontId="3"/>
  </si>
  <si>
    <t>手話表現した時漢字の字形を表現していないものはどれですか。</t>
    <rPh sb="0" eb="9">
      <t>シヒ;シタトキカンジ</t>
    </rPh>
    <rPh sb="10" eb="12">
      <t>ジケイ</t>
    </rPh>
    <rPh sb="13" eb="15">
      <t>ヒ;</t>
    </rPh>
    <phoneticPr fontId="3"/>
  </si>
  <si>
    <t>1. 災害
2. 非
3. 北陸
4. 虹</t>
    <rPh sb="3" eb="5">
      <t>サイガイ</t>
    </rPh>
    <rPh sb="9" eb="10">
      <t>ヒ</t>
    </rPh>
    <rPh sb="14" eb="16">
      <t>ホクリク</t>
    </rPh>
    <rPh sb="20" eb="21">
      <t>ニジ</t>
    </rPh>
    <phoneticPr fontId="3"/>
  </si>
  <si>
    <t>耳で聞く音は空気の振動によって伝わります。次の中で音の3要素ではないものはどれですか。</t>
    <rPh sb="0" eb="1">
      <t>ミミ</t>
    </rPh>
    <rPh sb="2" eb="3">
      <t>キ</t>
    </rPh>
    <rPh sb="4" eb="5">
      <t>オト</t>
    </rPh>
    <rPh sb="6" eb="8">
      <t>クウキ</t>
    </rPh>
    <rPh sb="9" eb="11">
      <t>シンドウ</t>
    </rPh>
    <rPh sb="15" eb="16">
      <t>ツタ</t>
    </rPh>
    <rPh sb="21" eb="22">
      <t>ツギ</t>
    </rPh>
    <rPh sb="23" eb="24">
      <t>ナカ</t>
    </rPh>
    <rPh sb="25" eb="26">
      <t>オト</t>
    </rPh>
    <rPh sb="28" eb="30">
      <t>ヨウソ</t>
    </rPh>
    <phoneticPr fontId="3"/>
  </si>
  <si>
    <t>1. 音の大きさ
2. 音の長さ
3. 音の高さ
4. 音色</t>
    <rPh sb="3" eb="4">
      <t>オト</t>
    </rPh>
    <rPh sb="5" eb="6">
      <t>オオ</t>
    </rPh>
    <rPh sb="12" eb="13">
      <t>オト</t>
    </rPh>
    <rPh sb="14" eb="15">
      <t>ナガ</t>
    </rPh>
    <rPh sb="20" eb="21">
      <t>オト</t>
    </rPh>
    <rPh sb="22" eb="23">
      <t>タカ</t>
    </rPh>
    <rPh sb="28" eb="30">
      <t>オトイロ</t>
    </rPh>
    <phoneticPr fontId="3"/>
  </si>
  <si>
    <t>手話が言語であることについて「言語（手話を含む。）」と条文の一節に規定した法律はなんですか。</t>
    <rPh sb="0" eb="2">
      <t>シ;</t>
    </rPh>
    <rPh sb="3" eb="5">
      <t>ゲンゴ</t>
    </rPh>
    <rPh sb="15" eb="17">
      <t>ゲンゴ</t>
    </rPh>
    <rPh sb="18" eb="20">
      <t>シ;</t>
    </rPh>
    <rPh sb="21" eb="22">
      <t>フク</t>
    </rPh>
    <rPh sb="27" eb="29">
      <t>ジョウブン</t>
    </rPh>
    <rPh sb="30" eb="32">
      <t>イッセツ</t>
    </rPh>
    <rPh sb="33" eb="35">
      <t>キテイ</t>
    </rPh>
    <rPh sb="37" eb="39">
      <t>ホウリツ</t>
    </rPh>
    <phoneticPr fontId="3"/>
  </si>
  <si>
    <t>1. 障害者基本法
2. 障害者差別解消法
3. 障害者総合支援法
4. 障害者自立支援法</t>
    <rPh sb="3" eb="9">
      <t>ショ;シャキホンホウ</t>
    </rPh>
    <rPh sb="13" eb="21">
      <t>ショ;シャサベツカイショウホウ</t>
    </rPh>
    <rPh sb="25" eb="33">
      <t>ショ;シャソウゴウシエンホウ</t>
    </rPh>
    <rPh sb="37" eb="45">
      <t>ショ;シャジリツシエンホウ</t>
    </rPh>
    <phoneticPr fontId="3"/>
  </si>
  <si>
    <t>聴覚障害者のために認定NPO法人障害者放送通信機構が提供している手話と字幕付きで視聴できる番組はなんですか。</t>
    <rPh sb="0" eb="5">
      <t>チョウカクショ;シャ</t>
    </rPh>
    <rPh sb="9" eb="11">
      <t>ニンテイ</t>
    </rPh>
    <rPh sb="14" eb="19">
      <t>ホウジンショ;シャ</t>
    </rPh>
    <rPh sb="19" eb="25">
      <t>ホウソウツウシンキコウ</t>
    </rPh>
    <rPh sb="26" eb="28">
      <t>テイキョウ</t>
    </rPh>
    <rPh sb="32" eb="34">
      <t>シ;</t>
    </rPh>
    <rPh sb="35" eb="38">
      <t>ジマクツ</t>
    </rPh>
    <rPh sb="40" eb="42">
      <t>シチョウ</t>
    </rPh>
    <rPh sb="45" eb="47">
      <t>b;</t>
    </rPh>
    <phoneticPr fontId="3"/>
  </si>
  <si>
    <t>1. 目で見るテレビ
2. 目で聴くテレビ
3. 耳で見るテレビ
4. 耳で聴くテレビ</t>
    <rPh sb="3" eb="4">
      <t>メ</t>
    </rPh>
    <rPh sb="5" eb="6">
      <t>ミ</t>
    </rPh>
    <rPh sb="14" eb="15">
      <t>メ</t>
    </rPh>
    <rPh sb="16" eb="17">
      <t>キ</t>
    </rPh>
    <rPh sb="25" eb="26">
      <t>ミミ</t>
    </rPh>
    <rPh sb="27" eb="28">
      <t>ミ</t>
    </rPh>
    <rPh sb="36" eb="37">
      <t>ミミ</t>
    </rPh>
    <rPh sb="38" eb="39">
      <t>キ</t>
    </rPh>
    <phoneticPr fontId="3"/>
  </si>
  <si>
    <t>障害の社会的障壁について障害があるものにとって日常生活または社会生活を営む上で障壁となるような社会における事物、制度、慣行、観念、その他の一切のものをいうと定義づけている。これはどんな視点を取り入れたものですか。</t>
    <rPh sb="0" eb="2">
      <t>ショ;</t>
    </rPh>
    <rPh sb="3" eb="8">
      <t>シャカイテキショウヘキ</t>
    </rPh>
    <rPh sb="12" eb="14">
      <t>ショ;</t>
    </rPh>
    <rPh sb="23" eb="27">
      <t>ニチジョウセイカツ</t>
    </rPh>
    <rPh sb="30" eb="34">
      <t>シャカイセイカツ</t>
    </rPh>
    <rPh sb="35" eb="36">
      <t>イトナ</t>
    </rPh>
    <rPh sb="37" eb="38">
      <t>ウエ</t>
    </rPh>
    <rPh sb="39" eb="41">
      <t>ショウヘキ</t>
    </rPh>
    <rPh sb="47" eb="49">
      <t>シャカイ</t>
    </rPh>
    <rPh sb="92" eb="94">
      <t>シテン</t>
    </rPh>
    <rPh sb="95" eb="96">
      <t>ト</t>
    </rPh>
    <rPh sb="97" eb="98">
      <t>イ</t>
    </rPh>
    <phoneticPr fontId="3"/>
  </si>
  <si>
    <t>1. バリアフリー
2. 社会モデル
3. インクルージョン
4. リハビリテーション</t>
    <rPh sb="13" eb="15">
      <t>シャカイ</t>
    </rPh>
    <phoneticPr fontId="3"/>
  </si>
  <si>
    <t>（ア）難聴の場合は、音を（イ）に伝える部分の障害のため音が小さくなってしまいますが（イ）に異常がない場合は（ウ）で十分に大きな音に増幅すれば聞き取りは改善されます。（ウ）の装用効果がかなり（エ）と言えます。</t>
    <rPh sb="3" eb="5">
      <t>ナンチョウ</t>
    </rPh>
    <rPh sb="6" eb="8">
      <t>バアイ</t>
    </rPh>
    <rPh sb="10" eb="11">
      <t>オト</t>
    </rPh>
    <rPh sb="16" eb="17">
      <t>ツタ</t>
    </rPh>
    <rPh sb="19" eb="21">
      <t>ブf</t>
    </rPh>
    <rPh sb="22" eb="24">
      <t>ショ;</t>
    </rPh>
    <rPh sb="27" eb="28">
      <t>オト</t>
    </rPh>
    <rPh sb="29" eb="30">
      <t>チイ</t>
    </rPh>
    <rPh sb="45" eb="47">
      <t>イジョウ</t>
    </rPh>
    <rPh sb="50" eb="52">
      <t>バアイ</t>
    </rPh>
    <rPh sb="57" eb="59">
      <t>ジュウf</t>
    </rPh>
    <rPh sb="60" eb="61">
      <t>オオ</t>
    </rPh>
    <rPh sb="63" eb="64">
      <t>オト</t>
    </rPh>
    <rPh sb="65" eb="67">
      <t>ゾウフク</t>
    </rPh>
    <rPh sb="70" eb="71">
      <t>キ</t>
    </rPh>
    <rPh sb="72" eb="73">
      <t>ト</t>
    </rPh>
    <rPh sb="75" eb="77">
      <t>カイゼン</t>
    </rPh>
    <rPh sb="86" eb="90">
      <t>ソウヨウコウカ</t>
    </rPh>
    <rPh sb="98" eb="99">
      <t>イ</t>
    </rPh>
    <phoneticPr fontId="3"/>
  </si>
  <si>
    <t>1. 中耳
2. 内耳
3. 外耳
4. 補聴器
5. 集音器
6. 低い
7. 高い
8. 伝音声
9. 感音性
10. 突発性</t>
    <rPh sb="3" eb="5">
      <t>チュウジ</t>
    </rPh>
    <rPh sb="9" eb="11">
      <t>ナイジ</t>
    </rPh>
    <rPh sb="15" eb="17">
      <t>ガイジ</t>
    </rPh>
    <rPh sb="21" eb="24">
      <t>ホチョウキ</t>
    </rPh>
    <rPh sb="28" eb="30">
      <t>シュウオン</t>
    </rPh>
    <rPh sb="30" eb="31">
      <t>キ</t>
    </rPh>
    <rPh sb="35" eb="36">
      <t>ヒク</t>
    </rPh>
    <rPh sb="41" eb="42">
      <t>タカ</t>
    </rPh>
    <rPh sb="47" eb="48">
      <t>デン</t>
    </rPh>
    <rPh sb="48" eb="50">
      <t>オンセイ</t>
    </rPh>
    <rPh sb="54" eb="57">
      <t>カンオンセイ</t>
    </rPh>
    <rPh sb="62" eb="64">
      <t>トッパツ</t>
    </rPh>
    <rPh sb="64" eb="65">
      <t>セイ</t>
    </rPh>
    <phoneticPr fontId="3"/>
  </si>
  <si>
    <t>8,2,4,7</t>
    <phoneticPr fontId="3"/>
  </si>
  <si>
    <t>日本では1878年、京都に（ア）が設立されました。手話はろう児の集団形成とともに（イ）を通じて形成され、ろう者の集団の中で発展したものと考えられます。この時代は聞こえないという障害ゆえに（ウ）や社会的偏見がありました。</t>
    <rPh sb="0" eb="2">
      <t>ン;</t>
    </rPh>
    <rPh sb="8" eb="9">
      <t>ネン</t>
    </rPh>
    <rPh sb="10" eb="12">
      <t>キョウト</t>
    </rPh>
    <rPh sb="17" eb="19">
      <t>セツリツ</t>
    </rPh>
    <rPh sb="25" eb="27">
      <t>シ;</t>
    </rPh>
    <rPh sb="30" eb="31">
      <t>ジ</t>
    </rPh>
    <rPh sb="32" eb="36">
      <t>シュウダンケイセイ</t>
    </rPh>
    <rPh sb="44" eb="45">
      <t>ツウ</t>
    </rPh>
    <rPh sb="47" eb="49">
      <t>ケイセイ</t>
    </rPh>
    <rPh sb="54" eb="55">
      <t>シャ</t>
    </rPh>
    <rPh sb="56" eb="58">
      <t>シュウダン</t>
    </rPh>
    <rPh sb="59" eb="60">
      <t>ナカ</t>
    </rPh>
    <rPh sb="61" eb="63">
      <t>ハッテン</t>
    </rPh>
    <rPh sb="68" eb="69">
      <t>カンガ</t>
    </rPh>
    <rPh sb="77" eb="79">
      <t>ジダイ</t>
    </rPh>
    <rPh sb="80" eb="81">
      <t>キ</t>
    </rPh>
    <rPh sb="88" eb="90">
      <t>ショ;</t>
    </rPh>
    <rPh sb="97" eb="102">
      <t>シャカイテキヘンケン</t>
    </rPh>
    <phoneticPr fontId="3"/>
  </si>
  <si>
    <t>1. 盲唖院
2. ろうあ協会
3. 歴史
4. 手話サークル
5. 平等
6. 教育
7. 差別
8. 自然</t>
    <rPh sb="3" eb="4">
      <t>モウ</t>
    </rPh>
    <rPh sb="4" eb="5">
      <t>ア</t>
    </rPh>
    <rPh sb="5" eb="6">
      <t>イン</t>
    </rPh>
    <rPh sb="13" eb="15">
      <t>キョウカイ</t>
    </rPh>
    <rPh sb="19" eb="21">
      <t>レキシ</t>
    </rPh>
    <rPh sb="25" eb="31">
      <t>シサ；</t>
    </rPh>
    <rPh sb="35" eb="37">
      <t>ビョウドウ</t>
    </rPh>
    <rPh sb="41" eb="43">
      <t>キョウイク</t>
    </rPh>
    <rPh sb="47" eb="49">
      <t>サベツ</t>
    </rPh>
    <rPh sb="53" eb="55">
      <t>シゼン</t>
    </rPh>
    <phoneticPr fontId="3"/>
  </si>
  <si>
    <t>1,6,7</t>
    <phoneticPr fontId="3"/>
  </si>
  <si>
    <t>2022年5月に障害者情報アクセシビリティ・コミュニケーション施策推進法が施行されました。この法律はすべての障害者があらゆる分野の（ア）に参加するためには情報の十分な取得利用や（イ）意思疎通が極めて重要であることから障害者による情報の十分な取得利用や（イ）意思疎通が極めて重要であることから障害者による情報の取得利用・意思疎通にかかる施策を総合的に推進し、（ウ）の実現に資するために制定されました。</t>
    <rPh sb="4" eb="5">
      <t>ネン</t>
    </rPh>
    <rPh sb="6" eb="7">
      <t>ガツ</t>
    </rPh>
    <rPh sb="8" eb="13">
      <t>ショ;シャジョ;</t>
    </rPh>
    <rPh sb="31" eb="33">
      <t>シサク</t>
    </rPh>
    <rPh sb="33" eb="36">
      <t>スイシンホウ</t>
    </rPh>
    <rPh sb="37" eb="39">
      <t>シコウ</t>
    </rPh>
    <rPh sb="47" eb="49">
      <t>ホウリツ</t>
    </rPh>
    <rPh sb="54" eb="57">
      <t>ショ;シャ</t>
    </rPh>
    <rPh sb="62" eb="64">
      <t>ブンヤ</t>
    </rPh>
    <rPh sb="69" eb="71">
      <t>サンカ</t>
    </rPh>
    <rPh sb="77" eb="79">
      <t>ジョ;</t>
    </rPh>
    <rPh sb="80" eb="82">
      <t>ジュウf</t>
    </rPh>
    <rPh sb="83" eb="87">
      <t>シュトクリヨウ</t>
    </rPh>
    <rPh sb="91" eb="95">
      <t>イシソツウ</t>
    </rPh>
    <rPh sb="96" eb="97">
      <t>キワ</t>
    </rPh>
    <rPh sb="99" eb="101">
      <t>ジュウヨウ</t>
    </rPh>
    <rPh sb="108" eb="111">
      <t>ショ;シャ</t>
    </rPh>
    <rPh sb="114" eb="116">
      <t>ジョ;</t>
    </rPh>
    <rPh sb="117" eb="119">
      <t>ジュウf</t>
    </rPh>
    <rPh sb="120" eb="124">
      <t>シュトクリヨウ</t>
    </rPh>
    <rPh sb="128" eb="132">
      <t>イシソツウ</t>
    </rPh>
    <rPh sb="133" eb="134">
      <t>キワ</t>
    </rPh>
    <rPh sb="136" eb="138">
      <t>ジュウヨウ</t>
    </rPh>
    <rPh sb="145" eb="176">
      <t>ショ;シャニヨルジョ;ノシュトクリヨウ･イシソツウニカカルシサクヲソウゴウテキニスイシン</t>
    </rPh>
    <rPh sb="182" eb="184">
      <t>ジツゲン</t>
    </rPh>
    <rPh sb="185" eb="186">
      <t>シ</t>
    </rPh>
    <rPh sb="191" eb="193">
      <t>セイテイ</t>
    </rPh>
    <phoneticPr fontId="3"/>
  </si>
  <si>
    <t>1. 仕事
2. 集会
3. 活動
4. 円滑な
5. 一定の
6. お互いの
7. 共存社会
8. 共生社会</t>
    <rPh sb="3" eb="5">
      <t>シゴト</t>
    </rPh>
    <rPh sb="9" eb="11">
      <t>シュウカイ</t>
    </rPh>
    <rPh sb="15" eb="17">
      <t>カツドウ</t>
    </rPh>
    <rPh sb="21" eb="23">
      <t>エンカツ</t>
    </rPh>
    <rPh sb="28" eb="30">
      <t>イッテイ</t>
    </rPh>
    <rPh sb="36" eb="38">
      <t>l</t>
    </rPh>
    <rPh sb="43" eb="47">
      <t>キョウゾンシャカイ</t>
    </rPh>
    <rPh sb="51" eb="55">
      <t>キョウセイシャカイ</t>
    </rPh>
    <phoneticPr fontId="3"/>
  </si>
  <si>
    <t>3,4,8</t>
    <phoneticPr fontId="3"/>
  </si>
  <si>
    <t>手話の【夜】と【～なる】では（ア）が異なり、【思う】と【心】では（イ）が異なります。また【裁判】と【人事異動】では（ウ）が異なります。このような例から手話という言語は一定の要素が複雑に組み合わさって構成されているといえます。</t>
    <rPh sb="0" eb="2">
      <t>シ;</t>
    </rPh>
    <rPh sb="4" eb="5">
      <t>ヨル</t>
    </rPh>
    <rPh sb="18" eb="19">
      <t>コト</t>
    </rPh>
    <rPh sb="23" eb="24">
      <t>オモ</t>
    </rPh>
    <rPh sb="28" eb="29">
      <t>h;</t>
    </rPh>
    <rPh sb="36" eb="37">
      <t>コト</t>
    </rPh>
    <rPh sb="45" eb="47">
      <t>サイバン</t>
    </rPh>
    <rPh sb="50" eb="54">
      <t>ジンジイドウ</t>
    </rPh>
    <rPh sb="61" eb="62">
      <t>コト</t>
    </rPh>
    <rPh sb="72" eb="73">
      <t>レイ</t>
    </rPh>
    <rPh sb="75" eb="80">
      <t>シ;tl</t>
    </rPh>
    <rPh sb="80" eb="82">
      <t>ゲンゴ</t>
    </rPh>
    <rPh sb="83" eb="85">
      <t>イッテイ</t>
    </rPh>
    <rPh sb="86" eb="88">
      <t>ヨウソ</t>
    </rPh>
    <rPh sb="89" eb="91">
      <t>フクザツ</t>
    </rPh>
    <rPh sb="92" eb="93">
      <t>ク</t>
    </rPh>
    <rPh sb="94" eb="95">
      <t>ア</t>
    </rPh>
    <rPh sb="99" eb="101">
      <t>コウセイ</t>
    </rPh>
    <phoneticPr fontId="3"/>
  </si>
  <si>
    <t>1. 手話の位置
2. 手指の動き
3. 語順
4. 趣旨の形
5. 頭の動き
6. 顔の表情
7. 体の向き
8. 手のひらの向き</t>
    <rPh sb="3" eb="5">
      <t>シ;</t>
    </rPh>
    <rPh sb="6" eb="8">
      <t>イチ</t>
    </rPh>
    <rPh sb="12" eb="14">
      <t>シュシ</t>
    </rPh>
    <rPh sb="15" eb="16">
      <t>ウゴ</t>
    </rPh>
    <rPh sb="21" eb="23">
      <t>ゴジュン</t>
    </rPh>
    <rPh sb="27" eb="29">
      <t>シュシ</t>
    </rPh>
    <rPh sb="30" eb="31">
      <t>ｓｈ</t>
    </rPh>
    <rPh sb="35" eb="36">
      <t>アタマ</t>
    </rPh>
    <rPh sb="37" eb="38">
      <t>ウゴ</t>
    </rPh>
    <rPh sb="43" eb="44">
      <t>カオ</t>
    </rPh>
    <rPh sb="45" eb="47">
      <t>ヒョウジョウ</t>
    </rPh>
    <rPh sb="51" eb="52">
      <t>カラダ</t>
    </rPh>
    <rPh sb="53" eb="54">
      <t>ム</t>
    </rPh>
    <rPh sb="59" eb="60">
      <t>テ</t>
    </rPh>
    <rPh sb="64" eb="65">
      <t>ム</t>
    </rPh>
    <phoneticPr fontId="3"/>
  </si>
  <si>
    <t>8,1,2</t>
    <phoneticPr fontId="3"/>
  </si>
  <si>
    <t>1. 全国手話研修センター
2. 全国手話通訳問題研究会
3. 全日本ろうあ連盟
4. イラスト
5. 文章
6. 日本語対応手話
7. 映像
8. 標準手話</t>
    <rPh sb="3" eb="9">
      <t>ゼンコクシ;ケンシュウ</t>
    </rPh>
    <rPh sb="17" eb="28">
      <t>ゼンコクシ;ツウヤクモンダイケンキュウカイ</t>
    </rPh>
    <rPh sb="32" eb="35">
      <t>ゼンニホン</t>
    </rPh>
    <rPh sb="38" eb="40">
      <t>レンメイ</t>
    </rPh>
    <rPh sb="52" eb="54">
      <t>ブンショウ</t>
    </rPh>
    <rPh sb="58" eb="65">
      <t>ニホンゴタlシ;</t>
    </rPh>
    <rPh sb="69" eb="71">
      <t>エイゾウ</t>
    </rPh>
    <rPh sb="75" eb="79">
      <t>ヒョウジュンシ;</t>
    </rPh>
    <phoneticPr fontId="3"/>
  </si>
  <si>
    <t>（ア）の交付があれば、障害福祉の窓口に申請することで（イ）の交付を受けられます。しかし、両耳の聴力レベルが（ウ）未満の場合は（ア）が交付されないため制度の対象外となり、全額自己負担となります。</t>
    <rPh sb="4" eb="6">
      <t>コウフ</t>
    </rPh>
    <rPh sb="11" eb="15">
      <t>ショ;フクシ</t>
    </rPh>
    <rPh sb="16" eb="18">
      <t>マドグチ</t>
    </rPh>
    <rPh sb="19" eb="21">
      <t>シンセイ</t>
    </rPh>
    <rPh sb="30" eb="32">
      <t>コウフ</t>
    </rPh>
    <rPh sb="33" eb="34">
      <t>ウ</t>
    </rPh>
    <rPh sb="44" eb="46">
      <t>リョウミミ</t>
    </rPh>
    <rPh sb="47" eb="49">
      <t>チョウリョク</t>
    </rPh>
    <rPh sb="56" eb="58">
      <t>ミマン</t>
    </rPh>
    <rPh sb="59" eb="61">
      <t>バアイ</t>
    </rPh>
    <rPh sb="66" eb="68">
      <t>コウフ</t>
    </rPh>
    <rPh sb="74" eb="76">
      <t>セイド</t>
    </rPh>
    <rPh sb="77" eb="80">
      <t>タイショウガイ</t>
    </rPh>
    <rPh sb="84" eb="90">
      <t>ゼンガクジコフタン</t>
    </rPh>
    <phoneticPr fontId="3"/>
  </si>
  <si>
    <t>1. 障害者年金手帳
2. 身体障害者手帳
3. 厚生年金手帳
4. 筆談ボード
5. 補聴器
6. 携帯電話
7. 40デシベル
8. 70デシベル</t>
    <rPh sb="3" eb="10">
      <t>ショ;シャネンキンテチョウ</t>
    </rPh>
    <rPh sb="14" eb="21">
      <t>シンタイショ;シャテチョウ</t>
    </rPh>
    <rPh sb="25" eb="31">
      <t>コウセイネンキンテチョウ</t>
    </rPh>
    <rPh sb="35" eb="37">
      <t>ヒツダン</t>
    </rPh>
    <rPh sb="44" eb="47">
      <t>ホチョウキ</t>
    </rPh>
    <rPh sb="51" eb="55">
      <t>ケイタイデンワ</t>
    </rPh>
    <phoneticPr fontId="3"/>
  </si>
  <si>
    <t>2,5,8</t>
    <phoneticPr fontId="3"/>
  </si>
  <si>
    <t>1. 頭脳
2. ことば
3. 声の調子
4. 指文字
5. 言語コミュニケーション
6. 非言語コミュニケーション
7. 文字
8. メール</t>
    <rPh sb="3" eb="5">
      <t>ズノウ</t>
    </rPh>
    <rPh sb="16" eb="17">
      <t>コエ</t>
    </rPh>
    <rPh sb="18" eb="20">
      <t>チョウシ</t>
    </rPh>
    <rPh sb="24" eb="27">
      <t>ユビモジ</t>
    </rPh>
    <rPh sb="31" eb="42">
      <t>ゲンゴcc;</t>
    </rPh>
    <rPh sb="46" eb="49">
      <t>ヒゲンゴ</t>
    </rPh>
    <rPh sb="62" eb="64">
      <t>モジ</t>
    </rPh>
    <phoneticPr fontId="3"/>
  </si>
  <si>
    <t>2,6,3</t>
    <phoneticPr fontId="3"/>
  </si>
  <si>
    <t>世界には数千もの言語があると言われていますがその伝達方法を見ると音声言語と（ア）言語に二分されます。音声言語は（イ）に依存するだけではありません。文字は音声言語を（ウ）したものです。そのため、文字はろう者も聞こえる人も双方が共通に利用できます。</t>
    <rPh sb="0" eb="2">
      <t>セカイ</t>
    </rPh>
    <rPh sb="4" eb="6">
      <t>スウセン</t>
    </rPh>
    <rPh sb="8" eb="10">
      <t>ゲンゴ</t>
    </rPh>
    <rPh sb="14" eb="15">
      <t>イ</t>
    </rPh>
    <rPh sb="24" eb="28">
      <t>デンタツホウホウ</t>
    </rPh>
    <rPh sb="29" eb="30">
      <t>ミ</t>
    </rPh>
    <rPh sb="32" eb="36">
      <t>オンセイゲンゴ</t>
    </rPh>
    <rPh sb="40" eb="42">
      <t>ゲンゴ</t>
    </rPh>
    <rPh sb="43" eb="45">
      <t>ニブン</t>
    </rPh>
    <rPh sb="50" eb="54">
      <t>オンセイゲンゴ</t>
    </rPh>
    <rPh sb="59" eb="61">
      <t>イソン</t>
    </rPh>
    <rPh sb="73" eb="75">
      <t>モジ</t>
    </rPh>
    <rPh sb="76" eb="80">
      <t>オンセイゲンゴ</t>
    </rPh>
    <rPh sb="96" eb="98">
      <t>モジ</t>
    </rPh>
    <rPh sb="101" eb="102">
      <t>シャ</t>
    </rPh>
    <rPh sb="103" eb="104">
      <t>キ</t>
    </rPh>
    <rPh sb="107" eb="108">
      <t>r</t>
    </rPh>
    <rPh sb="109" eb="111">
      <t>ソウホウ</t>
    </rPh>
    <rPh sb="112" eb="114">
      <t>キョウツウ</t>
    </rPh>
    <rPh sb="115" eb="117">
      <t>リヨウ</t>
    </rPh>
    <phoneticPr fontId="3"/>
  </si>
  <si>
    <t>1. 視覚化
2. 視覚
3. 聴覚
4. 標準化
5. 方言
6. 概念
7. 筆談
8. 手話</t>
    <rPh sb="3" eb="6">
      <t>シカクカ</t>
    </rPh>
    <rPh sb="10" eb="12">
      <t>シカク</t>
    </rPh>
    <rPh sb="16" eb="18">
      <t>チョウカク</t>
    </rPh>
    <rPh sb="22" eb="25">
      <t>ヒョウジュンカ</t>
    </rPh>
    <rPh sb="29" eb="31">
      <t>ホウゲン</t>
    </rPh>
    <rPh sb="35" eb="37">
      <t>ガイネン</t>
    </rPh>
    <rPh sb="41" eb="43">
      <t>ヒツダン</t>
    </rPh>
    <rPh sb="47" eb="49">
      <t>シ;</t>
    </rPh>
    <phoneticPr fontId="3"/>
  </si>
  <si>
    <t>8,3,1</t>
    <phoneticPr fontId="3"/>
  </si>
  <si>
    <t>Year</t>
    <phoneticPr fontId="3"/>
  </si>
  <si>
    <t>Type</t>
    <phoneticPr fontId="3"/>
  </si>
  <si>
    <t>unknown</t>
    <phoneticPr fontId="3"/>
  </si>
  <si>
    <t>Year</t>
    <phoneticPr fontId="3"/>
  </si>
  <si>
    <t>Type</t>
    <phoneticPr fontId="3"/>
  </si>
  <si>
    <t>Answer</t>
  </si>
  <si>
    <t>Answer</t>
    <phoneticPr fontId="3"/>
  </si>
  <si>
    <t>2. 要約筆記。要約筆記は聴覚障害者の中でも中途失聴者や難聴者に対する支援方法。手書きやパソコンテイクといった方法がある。</t>
  </si>
  <si>
    <t>1. 話し手の表情や口元が見える位置や顔の向きを考えて話すのがいい。手話は口元も含めて顔の表情が見やすい工夫をすることが重要である</t>
  </si>
  <si>
    <t>4. ラ。ラはアルファベットのRからきている</t>
  </si>
  <si>
    <t>2. 手話はどの国も同じである。手話は各国で異なる。</t>
  </si>
  <si>
    <t>1. 補聴器を使用すると音の聞き分けが良くなる。1は伝音声難聴の特徴である。</t>
  </si>
  <si>
    <t>3. 障害者権利条約。日本障害フォーラムは全日本ろうあ連盟などの13団体で構成されている。障害者施策の推進やイエローリボン運動などの啓発活動も行う。</t>
  </si>
  <si>
    <t>3. 同じ立場や障害を持っている人同士で行うカウンセリング。さまざまな場面で自分自身で選択し決定する自立生活を目指す仲間を（ピア）を作り、お互いに平等な立場で話を聞きあってサポートすること</t>
  </si>
  <si>
    <t>3. 厚生労働省。1973年に労働省（厚生労働省）が聴覚障害者の求職相談などのために手話協力員を設置した。</t>
  </si>
  <si>
    <t>4. 完全参加と平等。障害者が社会生活および社会への発展へ完全に参加できること、ほかの人々との平等な生活が営めること、経済的および社会的発展によって改善される生活状況を享受できることを目的とした。</t>
  </si>
  <si>
    <t>2. 頸肩腕障害。上腕から前腕にかけて疲労感や脱力感・痛みなどが起き、重なることで慢性的なだるさや食用低下などが現れる状態</t>
  </si>
  <si>
    <t>1. デフリンピック。聞こえないことをデフという。ろう者のオリンピックという意味合いでデフリンピックという。</t>
  </si>
  <si>
    <t>3. 鳥取県。2013年に鳥取県で制定され、全国の自治体へと波及して2024年時点では38都道府県21区357市110町6村、計532自治体で制定された。</t>
  </si>
  <si>
    <t>3. 聴覚障害者情報提供施設。1990年に身体障害者福祉法が改正されて、聴覚障害者情報提供施設を設置することができると定められた。</t>
  </si>
  <si>
    <t>4. 障害者週間。2004年6月に障害者基本法が改正されて12月9日を障害者の日と定めていたものを12月3日～9日を障害者週間と定めた。</t>
  </si>
  <si>
    <t>2. 法定雇用率。障害者雇用促進法は障害者の職業安定を図ることを目的とする法律。職業リハビリテーションの促進や障害に対する差別の禁止などが規定される。</t>
  </si>
  <si>
    <t>1. 手話の語彙の一部になることがある。指文字を表現の一部にする手話単語もたくさんあります。施設の手話は指文字のシを用います。</t>
  </si>
  <si>
    <t>1. 経済と商売。全日本ろうあ連盟発行「わたしたちの手話 学習辞典1」などを参照。</t>
  </si>
  <si>
    <t>2. 広島。広島の手話は宮島にある厳島神社の鳥居の形から作られています。</t>
  </si>
  <si>
    <t>2. プライバシー。全日本ろうあ連盟発行「わたしたちの手話 学習辞典1」などを参照。</t>
  </si>
  <si>
    <t>3. 基準。【基準】以外はすべて両手こぶしを使った手話表現です。</t>
  </si>
  <si>
    <t>4. 虹。【虹】の手話は事象そのものから成り立っています。ちなみに虹を七色と認識しているのは日本の特徴のようです。</t>
  </si>
  <si>
    <t>2. 音の長さ。音の三要素は「音の高さ」「音の大きさ」「音色」の３つからなります。</t>
  </si>
  <si>
    <t>1. 障害者基本法。2011年の障害者基本法改正で第3条第11項第3号に規定されたことによって言語性が認められたといわれています。</t>
  </si>
  <si>
    <t>2. 目で聴くテレビ。1995年の阪神淡路大震災の反省を踏まえて1998年から手話と字幕を付けた目で聴くテレビがスタートしました。</t>
  </si>
  <si>
    <t>1. バリアフリー。バリアフリーは高齢者や障害者等が生活する上での障壁（バリア）を除去（フリー）することです。社会モデルは高齢者や障害者等が生活するうえで障壁となっているものは社会にあるという考え方です。</t>
  </si>
  <si>
    <t>(ア): 8. 伝音声 (イ): 2. 内耳 (ウ): 4. 補聴器 (エ): 7. 高い。伝音性難聴は空気の振動としての音を内耳に伝える外耳道、鼓膜、耳小骨の部分に障害があるため、振動が伝わりに肉なって音が小さく聞こえる障害です。</t>
  </si>
  <si>
    <t>(ア): 1. 盲唖院 (イ): 6. 教育 (ウ): 7. 差別。日本最初の聾学校として1878年に京都盲唖院、1880年には東京に訓盲院が設立され、教育の場で手話が取り入れられました。</t>
  </si>
  <si>
    <t>(ア): 3. 活動 (イ): 4. 円滑な (ウ): 8. 共生社会。この法律の目的は「すべての障害者があらゆる分野の活動に参加するためにはその必要とする情報の十分な取得利用・円滑な意思疎通が極めて重要であり、障害者による情報の取得利用・意思疎通にかかる施策を総合的に推進し、共生社会の実現に資する」こととされています。</t>
  </si>
  <si>
    <t>(ア): 8. 手のひらの向き (イ): 1. 手話の位置 (ウ): 2. 手指の動き。全日本ろうあ連盟発行「わたしたちの手話 学習辞典1」などを参照。</t>
  </si>
  <si>
    <t>(ア): 3. 全日本ろうあ連盟 (イ): 4. イラスト (ウ): 8. 標準手話。標準手話の全国的な普及と手話サークルの発展に貢献し、日本手話研究所設立への流れを作りました。</t>
  </si>
  <si>
    <t>(ア): 2. 身体障害者手帳 (イ): 5. 補聴器 (ウ): 8. 70デシベル。現在、軽度・中度難聴者に対する補聴器購入費助成に取り組む自治体は増えていますが、少ない状況です。対象年齢が全年齢・65歳以上、18歳以上など自治体によってばらばらです。</t>
  </si>
  <si>
    <t>(ア): 2. ことば (イ): 6. 非言語コミュニケーション (ウ): 3. 声の調子。言葉以外の手段を使って伝える非言語コミュニケーションをうまく使うことで相手により分かりやすく伝えることもあります。</t>
  </si>
  <si>
    <t>(ア): 8. 手話 (イ): 3. 聴覚 (ウ): 1. 視覚化。ろう者は音声言語を視覚化した文字を見て理解できますが耳から入る情報で文字の理解を深めたりすることができないこともあり、文字は苦手だという方がいます。聴覚で知る情報を視覚化すれば聞こえない人・聞こえにくい人はもちろん、聞こえる人にも優しい社会になるでしょう。</t>
  </si>
  <si>
    <t>Option</t>
  </si>
  <si>
    <t>Detail</t>
  </si>
  <si>
    <t>Detail New</t>
    <phoneticPr fontId="7"/>
  </si>
  <si>
    <t>1. 触手話
2. 要約筆記
3. 点字通訳
4. 指文字</t>
    <rPh sb="3" eb="6">
      <t>ショクシュワ</t>
    </rPh>
    <rPh sb="10" eb="14">
      <t>ヨウヤクヒッキ</t>
    </rPh>
    <rPh sb="18" eb="20">
      <t>テンジ</t>
    </rPh>
    <rPh sb="20" eb="22">
      <t>ツウヤク</t>
    </rPh>
    <rPh sb="26" eb="29">
      <t>ユビモジ</t>
    </rPh>
    <phoneticPr fontId="4"/>
  </si>
  <si>
    <t>要約筆記は聴覚障害者の中でも中途失聴者や難聴者に対する支援方法。手書きやパソコンテイクといった方法がある。</t>
    <rPh sb="0" eb="4">
      <t>ヨウヤクヒッキ</t>
    </rPh>
    <rPh sb="5" eb="10">
      <t>チョウカクショ;シャ</t>
    </rPh>
    <rPh sb="11" eb="12">
      <t>ナカ</t>
    </rPh>
    <rPh sb="14" eb="19">
      <t>チュウトシッチョウシャ</t>
    </rPh>
    <rPh sb="20" eb="23">
      <t>ナンチョウシャ</t>
    </rPh>
    <rPh sb="24" eb="25">
      <t>タイ</t>
    </rPh>
    <rPh sb="27" eb="31">
      <t>シエンホウホウ</t>
    </rPh>
    <rPh sb="32" eb="34">
      <t>テガ</t>
    </rPh>
    <rPh sb="47" eb="49">
      <t>ホウホウ</t>
    </rPh>
    <phoneticPr fontId="4"/>
  </si>
  <si>
    <t>1. 話し手の表情や口元が見える位置や顔の向きを考えて話すのがいい
2. 筆談は簡単な文章がいいので、漢字は使わずひらがなで書くのがいい
3. 空所は分かりやすいので、多用するほうがいい
4. 手話を使うときは口型は全くつけない方がいい</t>
    <rPh sb="3" eb="4">
      <t>ハナ</t>
    </rPh>
    <rPh sb="5" eb="6">
      <t>テ</t>
    </rPh>
    <rPh sb="7" eb="9">
      <t>ヒョウジョウ</t>
    </rPh>
    <rPh sb="10" eb="12">
      <t>クチモト</t>
    </rPh>
    <rPh sb="13" eb="14">
      <t>ミ</t>
    </rPh>
    <rPh sb="16" eb="18">
      <t>イチ</t>
    </rPh>
    <rPh sb="19" eb="20">
      <t>カオ</t>
    </rPh>
    <rPh sb="21" eb="22">
      <t>ム</t>
    </rPh>
    <rPh sb="24" eb="25">
      <t>カンガ</t>
    </rPh>
    <rPh sb="27" eb="28">
      <t>ハナ</t>
    </rPh>
    <rPh sb="37" eb="39">
      <t>ヒツダン</t>
    </rPh>
    <rPh sb="40" eb="42">
      <t>カンタン</t>
    </rPh>
    <rPh sb="72" eb="74">
      <t>クウショ</t>
    </rPh>
    <rPh sb="75" eb="76">
      <t>ワ</t>
    </rPh>
    <rPh sb="84" eb="86">
      <t>タヨウ</t>
    </rPh>
    <rPh sb="97" eb="99">
      <t>シュワ</t>
    </rPh>
    <rPh sb="100" eb="101">
      <t>ツカ</t>
    </rPh>
    <rPh sb="105" eb="107">
      <t>コウケイ</t>
    </rPh>
    <rPh sb="108" eb="109">
      <t>マッタ</t>
    </rPh>
    <rPh sb="114" eb="115">
      <t>ホウ</t>
    </rPh>
    <phoneticPr fontId="4"/>
  </si>
  <si>
    <t>手話は口元も含めて顔の表情が見やすい工夫をすることが重要である</t>
    <rPh sb="0" eb="2">
      <t>シ;</t>
    </rPh>
    <rPh sb="3" eb="5">
      <t>クチモト</t>
    </rPh>
    <rPh sb="6" eb="7">
      <t>フク</t>
    </rPh>
    <rPh sb="9" eb="10">
      <t>カオ</t>
    </rPh>
    <rPh sb="11" eb="13">
      <t>ヒョウジョウ</t>
    </rPh>
    <rPh sb="14" eb="15">
      <t>ミ</t>
    </rPh>
    <rPh sb="18" eb="20">
      <t>クフウ</t>
    </rPh>
    <rPh sb="26" eb="28">
      <t>ジュウヨウ</t>
    </rPh>
    <phoneticPr fontId="4"/>
  </si>
  <si>
    <t>1. コ
2. ク
3. セ
4. ラ</t>
  </si>
  <si>
    <t>ラはアルファベットのRからきている</t>
  </si>
  <si>
    <t>1. 手話には文法がある
2. 手話はどの国も同じである
3. 手話は伝承することができる
4. 手話には方言がある</t>
    <rPh sb="3" eb="5">
      <t>シュワ</t>
    </rPh>
    <rPh sb="7" eb="9">
      <t>ブンポウ</t>
    </rPh>
    <rPh sb="16" eb="18">
      <t>シ;</t>
    </rPh>
    <rPh sb="21" eb="22">
      <t>クニ</t>
    </rPh>
    <rPh sb="23" eb="24">
      <t>オナ</t>
    </rPh>
    <rPh sb="32" eb="34">
      <t>シ;</t>
    </rPh>
    <rPh sb="35" eb="37">
      <t>デンショウ</t>
    </rPh>
    <rPh sb="49" eb="51">
      <t>シ;</t>
    </rPh>
    <rPh sb="53" eb="55">
      <t>ホウゲン</t>
    </rPh>
    <phoneticPr fontId="4"/>
  </si>
  <si>
    <t>手話は各国で異なる。</t>
    <rPh sb="0" eb="2">
      <t>シ;</t>
    </rPh>
    <rPh sb="3" eb="5">
      <t>カッコク</t>
    </rPh>
    <rPh sb="6" eb="7">
      <t>コト</t>
    </rPh>
    <phoneticPr fontId="4"/>
  </si>
  <si>
    <t>1. 補聴器を使用すると音の聞き分けが良くなる
2. 大きい音がうるさく聞こえる
3. 小さい音が聞こえない
4. 話し言葉の弁別がしにくい</t>
    <rPh sb="3" eb="6">
      <t>ホチョウキ</t>
    </rPh>
    <rPh sb="7" eb="9">
      <t>シヨウ</t>
    </rPh>
    <rPh sb="12" eb="13">
      <t>オト</t>
    </rPh>
    <rPh sb="14" eb="15">
      <t>キ</t>
    </rPh>
    <rPh sb="16" eb="17">
      <t>ワ</t>
    </rPh>
    <rPh sb="19" eb="20">
      <t>ヨ</t>
    </rPh>
    <rPh sb="27" eb="28">
      <t>オオ</t>
    </rPh>
    <rPh sb="30" eb="31">
      <t>オト</t>
    </rPh>
    <rPh sb="36" eb="37">
      <t>キ</t>
    </rPh>
    <rPh sb="44" eb="45">
      <t>チイ</t>
    </rPh>
    <rPh sb="47" eb="48">
      <t>オト</t>
    </rPh>
    <rPh sb="49" eb="50">
      <t>キ</t>
    </rPh>
    <rPh sb="58" eb="59">
      <t>ハナ</t>
    </rPh>
    <rPh sb="60" eb="62">
      <t>コトバ</t>
    </rPh>
    <rPh sb="63" eb="65">
      <t>ベンベツ</t>
    </rPh>
    <phoneticPr fontId="4"/>
  </si>
  <si>
    <t>1は伝音声難聴の特徴である。</t>
    <rPh sb="2" eb="7">
      <t>デンオンセイナンチョウ</t>
    </rPh>
    <rPh sb="8" eb="10">
      <t>トクチョウ</t>
    </rPh>
    <phoneticPr fontId="4"/>
  </si>
  <si>
    <t>1. 障害者差別撤廃条約
2. 子どもの権利条約
3. 障害者権利条約
4. 女性差別撤廃条約</t>
    <rPh sb="3" eb="12">
      <t>ショ;シャサベツテッパイジョウヤク</t>
    </rPh>
    <rPh sb="16" eb="17">
      <t>コ</t>
    </rPh>
    <rPh sb="20" eb="24">
      <t>ケンリジョウヤク</t>
    </rPh>
    <rPh sb="28" eb="35">
      <t>ショ;シャケンリジョウヤク</t>
    </rPh>
    <rPh sb="39" eb="47">
      <t>ジョセイサベツテッパイジョウヤク</t>
    </rPh>
    <phoneticPr fontId="4"/>
  </si>
  <si>
    <t>日本障害フォーラムは全日本ろうあ連盟などの13団体で構成されている。障害者施策の推進やイエローリボン運動などの啓発活動も行う。</t>
    <rPh sb="0" eb="4">
      <t>ン;ショ;</t>
    </rPh>
    <rPh sb="10" eb="13">
      <t>ゼンニホン</t>
    </rPh>
    <rPh sb="16" eb="18">
      <t>レンメイ</t>
    </rPh>
    <rPh sb="23" eb="25">
      <t>ダンタイ</t>
    </rPh>
    <rPh sb="26" eb="28">
      <t>コウセイ</t>
    </rPh>
    <rPh sb="34" eb="37">
      <t>ショ;シャ</t>
    </rPh>
    <rPh sb="37" eb="39">
      <t>シサク</t>
    </rPh>
    <rPh sb="40" eb="42">
      <t>スイシン</t>
    </rPh>
    <rPh sb="50" eb="54">
      <t>ウンドウンd</t>
    </rPh>
    <rPh sb="55" eb="57">
      <t>ケイハツ</t>
    </rPh>
    <rPh sb="57" eb="59">
      <t>カツドウ</t>
    </rPh>
    <rPh sb="60" eb="61">
      <t>g;</t>
    </rPh>
    <phoneticPr fontId="4"/>
  </si>
  <si>
    <t>1. いつも同じ人が継続的なミーティングの中で語り合いをするカウンセリング
2. 夫婦の間の問題解決のために2人で受けるカウンセリング
3. 同じ立場や障害を持っている人同士で行うカウンセリング
4. 日頃悩んでいる家庭のこと・仕事のこと・病気のことなどについてメールで受けるカウンセリング</t>
    <rPh sb="6" eb="7">
      <t>オナ</t>
    </rPh>
    <rPh sb="8" eb="9">
      <t>r</t>
    </rPh>
    <rPh sb="10" eb="13">
      <t>ケイゾクテキ</t>
    </rPh>
    <rPh sb="21" eb="22">
      <t>ナカ</t>
    </rPh>
    <rPh sb="23" eb="24">
      <t>カタ</t>
    </rPh>
    <rPh sb="25" eb="26">
      <t>ア</t>
    </rPh>
    <rPh sb="41" eb="43">
      <t>フウフ</t>
    </rPh>
    <rPh sb="44" eb="45">
      <t>アイダ</t>
    </rPh>
    <rPh sb="46" eb="48">
      <t>モンダイ</t>
    </rPh>
    <rPh sb="48" eb="50">
      <t>カイケツ</t>
    </rPh>
    <rPh sb="55" eb="56">
      <t>r</t>
    </rPh>
    <rPh sb="57" eb="58">
      <t>ウ</t>
    </rPh>
    <rPh sb="71" eb="72">
      <t>オナ</t>
    </rPh>
    <rPh sb="73" eb="75">
      <t>タチバ</t>
    </rPh>
    <rPh sb="76" eb="78">
      <t>ショ;</t>
    </rPh>
    <rPh sb="79" eb="80">
      <t>モ</t>
    </rPh>
    <rPh sb="84" eb="85">
      <t>r</t>
    </rPh>
    <rPh sb="85" eb="87">
      <t>ドウシ</t>
    </rPh>
    <rPh sb="88" eb="89">
      <t>g;</t>
    </rPh>
    <rPh sb="101" eb="104">
      <t>ヒゴロナヤ</t>
    </rPh>
    <rPh sb="108" eb="110">
      <t>カテイ</t>
    </rPh>
    <rPh sb="114" eb="127">
      <t>シゴトノコト･ビョウキノコトンd</t>
    </rPh>
    <rPh sb="135" eb="136">
      <t>ウ</t>
    </rPh>
    <phoneticPr fontId="4"/>
  </si>
  <si>
    <t>さまざまな場面で自分自身で選択し決定する自立生活を目指す仲間を（ピア）を作り、お互いに平等な立場で話を聞きあってサポートすること</t>
    <rPh sb="0" eb="7">
      <t>sm;ナバメン</t>
    </rPh>
    <rPh sb="8" eb="12">
      <t>jj;</t>
    </rPh>
    <rPh sb="13" eb="15">
      <t>センタク</t>
    </rPh>
    <rPh sb="16" eb="18">
      <t>ケッテイ</t>
    </rPh>
    <rPh sb="20" eb="24">
      <t>ジリツセイカツ</t>
    </rPh>
    <rPh sb="25" eb="27">
      <t>メザ</t>
    </rPh>
    <rPh sb="28" eb="30">
      <t>ナカマ</t>
    </rPh>
    <rPh sb="36" eb="37">
      <t>ツク</t>
    </rPh>
    <rPh sb="40" eb="42">
      <t>l</t>
    </rPh>
    <rPh sb="43" eb="45">
      <t>ビョウドウ</t>
    </rPh>
    <rPh sb="46" eb="48">
      <t>タチバ</t>
    </rPh>
    <rPh sb="49" eb="50">
      <t>ハナシ</t>
    </rPh>
    <rPh sb="51" eb="52">
      <t>キ</t>
    </rPh>
    <phoneticPr fontId="4"/>
  </si>
  <si>
    <t>1. 総務省
2. 文部科学省
3. 厚生労働省
4. 国土交通省</t>
    <rPh sb="3" eb="6">
      <t>ソウムショウ</t>
    </rPh>
    <rPh sb="10" eb="15">
      <t>モンブカガクショウ</t>
    </rPh>
    <rPh sb="19" eb="24">
      <t>コウセイロウドウショウ</t>
    </rPh>
    <rPh sb="28" eb="33">
      <t>コクドコウツウショウ</t>
    </rPh>
    <phoneticPr fontId="4"/>
  </si>
  <si>
    <t>1973年に労働省（厚生労働省）が聴覚障害者の求職相談などのために手話協力員を設置した。</t>
    <rPh sb="4" eb="5">
      <t>ネン</t>
    </rPh>
    <rPh sb="6" eb="9">
      <t>ロウドウショウ</t>
    </rPh>
    <rPh sb="10" eb="15">
      <t>コウセイロウドウショウ</t>
    </rPh>
    <rPh sb="17" eb="22">
      <t>チョウカクショ;シャ</t>
    </rPh>
    <rPh sb="23" eb="29">
      <t>キュウショクソウダンンd</t>
    </rPh>
    <rPh sb="33" eb="38">
      <t>シ;キョウリョクイン</t>
    </rPh>
    <rPh sb="39" eb="41">
      <t>セッチ</t>
    </rPh>
    <phoneticPr fontId="4"/>
  </si>
  <si>
    <t>1. 出会い、触れあい、心の輪
2. 壁を取り払い、扉を開こう: すべての人々が参加できる社会のために
3. わたしたち抜きで私たちのことを決めるな
4. 完全参加と平等</t>
    <rPh sb="3" eb="15">
      <t>デアイ､フレアイ､h;ノワ</t>
    </rPh>
    <rPh sb="19" eb="20">
      <t>カベ</t>
    </rPh>
    <rPh sb="21" eb="22">
      <t>ト</t>
    </rPh>
    <rPh sb="23" eb="24">
      <t>ハラ</t>
    </rPh>
    <rPh sb="26" eb="27">
      <t>トビラ</t>
    </rPh>
    <rPh sb="28" eb="29">
      <t>ヒラ</t>
    </rPh>
    <rPh sb="37" eb="47">
      <t>rrガサンカデキルシャカイ</t>
    </rPh>
    <rPh sb="60" eb="61">
      <t>ヌ</t>
    </rPh>
    <rPh sb="63" eb="66">
      <t>wt</t>
    </rPh>
    <rPh sb="70" eb="71">
      <t>キ</t>
    </rPh>
    <rPh sb="78" eb="80">
      <t>カz</t>
    </rPh>
    <rPh sb="80" eb="82">
      <t>サンカ</t>
    </rPh>
    <rPh sb="83" eb="85">
      <t>ビョウドウ</t>
    </rPh>
    <phoneticPr fontId="4"/>
  </si>
  <si>
    <t>障害者が社会生活および社会への発展へ完全に参加できること、ほかの人々との平等な生活が営めること、経済的および社会的発展によって改善される生活状況を享受できることを目的とした。</t>
    <rPh sb="0" eb="3">
      <t>ショ;シャ</t>
    </rPh>
    <rPh sb="4" eb="8">
      <t>シャカイセイカツ</t>
    </rPh>
    <rPh sb="11" eb="23">
      <t>シャカイヘノハッテンヘカzニサンカ</t>
    </rPh>
    <rPh sb="32" eb="43">
      <t>rrトノビョウドウナセイカツガイトナ</t>
    </rPh>
    <rPh sb="48" eb="51">
      <t>ケイザイテキ</t>
    </rPh>
    <rPh sb="54" eb="59">
      <t>シャカイテキハッテン</t>
    </rPh>
    <rPh sb="63" eb="65">
      <t>カイゼン</t>
    </rPh>
    <rPh sb="68" eb="83">
      <t>セイカツジョkヲキョウジュデキルコトヲモクテキ</t>
    </rPh>
    <phoneticPr fontId="4"/>
  </si>
  <si>
    <t>1. 高次脳機能障害
2. 頸肩腕障害
3. 言語障害
4. 肝機能障害</t>
    <rPh sb="3" eb="10">
      <t>コウジノウキノウショ;</t>
    </rPh>
    <rPh sb="14" eb="19">
      <t>ケイケンワンショウガイ</t>
    </rPh>
    <rPh sb="23" eb="27">
      <t>ゲンゴショ;</t>
    </rPh>
    <rPh sb="31" eb="36">
      <t>カンキノウショ;</t>
    </rPh>
    <phoneticPr fontId="4"/>
  </si>
  <si>
    <t>上腕から前腕にかけて疲労感や脱力感・痛みなどが起き、重なることで慢性的なだるさや食用低下などが現れる状態</t>
    <rPh sb="0" eb="2">
      <t>ジョウワン</t>
    </rPh>
    <rPh sb="4" eb="6">
      <t>ゼンワン</t>
    </rPh>
    <rPh sb="10" eb="13">
      <t>ヒロウカン</t>
    </rPh>
    <rPh sb="14" eb="17">
      <t>ダツリョクカン</t>
    </rPh>
    <rPh sb="18" eb="19">
      <t>イタ</t>
    </rPh>
    <rPh sb="23" eb="24">
      <t>オ</t>
    </rPh>
    <rPh sb="26" eb="27">
      <t>カサ</t>
    </rPh>
    <rPh sb="32" eb="35">
      <t>マンセイテキ</t>
    </rPh>
    <rPh sb="40" eb="44">
      <t>ショクヨウテイカ</t>
    </rPh>
    <rPh sb="47" eb="48">
      <t>アラワ</t>
    </rPh>
    <rPh sb="50" eb="52">
      <t>ジョt</t>
    </rPh>
    <phoneticPr fontId="4"/>
  </si>
  <si>
    <t>1. デフリンピック
2. パラリンピック
3. オリンピック
4. アビリンピック</t>
  </si>
  <si>
    <t>聞こえないことをデフという。ろう者のオリンピックという意味合いでデフリンピックという。</t>
    <rPh sb="0" eb="1">
      <t>キ</t>
    </rPh>
    <rPh sb="16" eb="17">
      <t>シャ</t>
    </rPh>
    <rPh sb="27" eb="30">
      <t>イミア</t>
    </rPh>
    <phoneticPr fontId="4"/>
  </si>
  <si>
    <t>1. 北海道
2. 神奈川県
3. 鳥取県
4. 福岡県</t>
    <rPh sb="3" eb="6">
      <t>ホッカイドウ</t>
    </rPh>
    <rPh sb="10" eb="14">
      <t>カナガワケン</t>
    </rPh>
    <rPh sb="18" eb="21">
      <t>トットリケン</t>
    </rPh>
    <rPh sb="25" eb="28">
      <t>フクオカケン</t>
    </rPh>
    <phoneticPr fontId="4"/>
  </si>
  <si>
    <t>2013年に鳥取県で制定され、全国の自治体へと波及して2024年時点では38都道府県21区357市110町6村、計532自治体で制定された。</t>
    <rPh sb="4" eb="5">
      <t>ネン</t>
    </rPh>
    <rPh sb="6" eb="9">
      <t>トットリケン</t>
    </rPh>
    <rPh sb="10" eb="12">
      <t>セイテイ</t>
    </rPh>
    <rPh sb="15" eb="17">
      <t>ゼンコク</t>
    </rPh>
    <rPh sb="18" eb="21">
      <t>ジチタイ</t>
    </rPh>
    <rPh sb="23" eb="25">
      <t>ハキュウ</t>
    </rPh>
    <rPh sb="31" eb="34">
      <t>ネンジテン</t>
    </rPh>
    <rPh sb="38" eb="42">
      <t>トドウフケン</t>
    </rPh>
    <rPh sb="48" eb="49">
      <t>シ</t>
    </rPh>
    <rPh sb="52" eb="53">
      <t>チョウ</t>
    </rPh>
    <rPh sb="54" eb="55">
      <t>ムラ</t>
    </rPh>
    <rPh sb="56" eb="57">
      <t>ケイ</t>
    </rPh>
    <rPh sb="60" eb="63">
      <t>ジチタイ</t>
    </rPh>
    <rPh sb="64" eb="66">
      <t>セイテイ</t>
    </rPh>
    <phoneticPr fontId="4"/>
  </si>
  <si>
    <t>1. 聴覚言語障害センター
2. 聴覚障害者情報センター
3. 聴覚障害者情報提供施設
4. 聴覚障害者手話通訳派遣センター</t>
    <rPh sb="3" eb="9">
      <t>チョウカクゲンゴショ;</t>
    </rPh>
    <rPh sb="17" eb="22">
      <t>チョウカクショ;シャ</t>
    </rPh>
    <rPh sb="22" eb="24">
      <t>ジョ;</t>
    </rPh>
    <rPh sb="32" eb="43">
      <t>チョウカクショ;シャジョ;テイキョウシセツ</t>
    </rPh>
    <rPh sb="47" eb="58">
      <t>チョウカクショ;シャシ;ツウヤクハケン</t>
    </rPh>
    <phoneticPr fontId="4"/>
  </si>
  <si>
    <t>1990年に身体障害者福祉法が改正されて、聴覚障害者情報提供施設を設置することができると定められた。</t>
    <rPh sb="4" eb="5">
      <t>ネン</t>
    </rPh>
    <rPh sb="6" eb="14">
      <t>シンタイショ;シャフクシホウ</t>
    </rPh>
    <rPh sb="15" eb="17">
      <t>カイセイ</t>
    </rPh>
    <rPh sb="21" eb="26">
      <t>チョウカクショ;シャ</t>
    </rPh>
    <rPh sb="26" eb="32">
      <t>ジョ;テイキョウシセツ</t>
    </rPh>
    <rPh sb="33" eb="35">
      <t>セッチ</t>
    </rPh>
    <rPh sb="44" eb="45">
      <t>サダ</t>
    </rPh>
    <phoneticPr fontId="4"/>
  </si>
  <si>
    <t>1. 人権週間
2. 教育週間
3. 福祉週間
4. 障害者週間</t>
    <rPh sb="3" eb="5">
      <t>ジンケン</t>
    </rPh>
    <rPh sb="5" eb="7">
      <t>シュウカン</t>
    </rPh>
    <rPh sb="11" eb="13">
      <t>キョウイク</t>
    </rPh>
    <rPh sb="13" eb="15">
      <t>シュウカン</t>
    </rPh>
    <rPh sb="19" eb="21">
      <t>フクシ</t>
    </rPh>
    <rPh sb="21" eb="23">
      <t>シュウカン</t>
    </rPh>
    <rPh sb="27" eb="29">
      <t>ショ；</t>
    </rPh>
    <rPh sb="29" eb="30">
      <t>シャ</t>
    </rPh>
    <rPh sb="30" eb="32">
      <t>シュウカン</t>
    </rPh>
    <phoneticPr fontId="4"/>
  </si>
  <si>
    <t>2004年6月に障害者基本法が改正されて12月9日を障害者の日と定めていたものを12月3日～9日を障害者週間と定めた。</t>
    <rPh sb="4" eb="5">
      <t>ネン</t>
    </rPh>
    <rPh sb="6" eb="7">
      <t>ガツ</t>
    </rPh>
    <rPh sb="8" eb="14">
      <t>ショ;シャキホンホウ</t>
    </rPh>
    <rPh sb="15" eb="17">
      <t>カイセイ</t>
    </rPh>
    <rPh sb="22" eb="23">
      <t>ガツ</t>
    </rPh>
    <rPh sb="24" eb="25">
      <t>h</t>
    </rPh>
    <rPh sb="26" eb="29">
      <t>ショ;シャ</t>
    </rPh>
    <rPh sb="30" eb="31">
      <t>ヒ</t>
    </rPh>
    <rPh sb="32" eb="33">
      <t>サダ</t>
    </rPh>
    <rPh sb="42" eb="43">
      <t>ガツ</t>
    </rPh>
    <rPh sb="44" eb="45">
      <t>h</t>
    </rPh>
    <rPh sb="47" eb="48">
      <t>h</t>
    </rPh>
    <rPh sb="49" eb="52">
      <t>ショ;シャ</t>
    </rPh>
    <rPh sb="52" eb="54">
      <t>シュウカン</t>
    </rPh>
    <rPh sb="55" eb="56">
      <t>サダ</t>
    </rPh>
    <phoneticPr fontId="4"/>
  </si>
  <si>
    <t>1. 義務雇用率
2. 法定雇用率
3. 目標雇用率
4. 最低雇用率</t>
    <rPh sb="3" eb="8">
      <t>ギムコヨウリツ</t>
    </rPh>
    <rPh sb="12" eb="17">
      <t>ホウテイコヨウリツ</t>
    </rPh>
    <rPh sb="21" eb="26">
      <t>モk;コヨウリツ</t>
    </rPh>
    <rPh sb="30" eb="35">
      <t>サイテイコヨウリツ</t>
    </rPh>
    <phoneticPr fontId="4"/>
  </si>
  <si>
    <t>障害者雇用促進法は障害者の職業安定を図ることを目的とする法律。職業リハビリテーションの促進や障害に対する差別の禁止などが規定される。</t>
    <rPh sb="0" eb="3">
      <t>ショ;シャ</t>
    </rPh>
    <rPh sb="3" eb="8">
      <t>コヨウソクシンホウ</t>
    </rPh>
    <rPh sb="9" eb="12">
      <t>ショ;シャ</t>
    </rPh>
    <rPh sb="31" eb="33">
      <t>ショクギョウ</t>
    </rPh>
    <rPh sb="43" eb="45">
      <t>ソクシン</t>
    </rPh>
    <rPh sb="46" eb="48">
      <t>ショ;</t>
    </rPh>
    <rPh sb="49" eb="50">
      <t>タイ</t>
    </rPh>
    <rPh sb="52" eb="54">
      <t>サベツ</t>
    </rPh>
    <rPh sb="55" eb="59">
      <t>キンシンd</t>
    </rPh>
    <rPh sb="60" eb="62">
      <t>キテイ</t>
    </rPh>
    <phoneticPr fontId="4"/>
  </si>
  <si>
    <t>1. 手話の語彙の一部になることがある
2. 主にカタカナで書かれる言葉について表現するためのものである
3. 指文字は年々改良されている
4. 五十音に対応しているが、「が」などの濁音は表現できない</t>
    <rPh sb="3" eb="5">
      <t>シ;</t>
    </rPh>
    <rPh sb="6" eb="8">
      <t>ゴイ</t>
    </rPh>
    <rPh sb="9" eb="11">
      <t>イチブ</t>
    </rPh>
    <rPh sb="23" eb="24">
      <t>オモ</t>
    </rPh>
    <rPh sb="30" eb="31">
      <t>カ</t>
    </rPh>
    <rPh sb="34" eb="36">
      <t>コトバ</t>
    </rPh>
    <rPh sb="40" eb="42">
      <t>ヒ;</t>
    </rPh>
    <rPh sb="56" eb="59">
      <t>ユビモジ</t>
    </rPh>
    <rPh sb="60" eb="64">
      <t>ネンネンカイリョウ</t>
    </rPh>
    <rPh sb="73" eb="76">
      <t>ゴジュウオン</t>
    </rPh>
    <rPh sb="77" eb="79">
      <t>タl</t>
    </rPh>
    <rPh sb="91" eb="93">
      <t>ダクオン</t>
    </rPh>
    <rPh sb="94" eb="96">
      <t>ヒ;</t>
    </rPh>
    <phoneticPr fontId="4"/>
  </si>
  <si>
    <t>指文字を表現の一部にする手話単語もたくさんあります。施設の手話は指文字のシを用います。</t>
    <rPh sb="0" eb="3">
      <t>ユビモジ</t>
    </rPh>
    <rPh sb="4" eb="6">
      <t>ヒ;</t>
    </rPh>
    <rPh sb="7" eb="9">
      <t>イチブ</t>
    </rPh>
    <rPh sb="12" eb="16">
      <t>シタ;</t>
    </rPh>
    <rPh sb="26" eb="28">
      <t>シセツ</t>
    </rPh>
    <rPh sb="29" eb="31">
      <t>シ;</t>
    </rPh>
    <rPh sb="32" eb="35">
      <t>ユビモジ</t>
    </rPh>
    <rPh sb="38" eb="39">
      <t>モチ</t>
    </rPh>
    <phoneticPr fontId="4"/>
  </si>
  <si>
    <t>1. 経済と商売
2. 遊びと会社
3. 姉と弟
4. 考えると私</t>
    <rPh sb="3" eb="5">
      <t>ケイザイ</t>
    </rPh>
    <rPh sb="6" eb="8">
      <t>ショウバイ</t>
    </rPh>
    <rPh sb="12" eb="13">
      <t>アソ</t>
    </rPh>
    <rPh sb="15" eb="17">
      <t>カイシャ</t>
    </rPh>
    <rPh sb="21" eb="22">
      <t>アネ</t>
    </rPh>
    <rPh sb="23" eb="24">
      <t>オトウト</t>
    </rPh>
    <rPh sb="28" eb="29">
      <t>カンガ</t>
    </rPh>
    <rPh sb="32" eb="33">
      <t>w</t>
    </rPh>
    <phoneticPr fontId="4"/>
  </si>
  <si>
    <t>全日本ろうあ連盟発行「わたしたちの手話 学習辞典1」などを参照。</t>
    <rPh sb="0" eb="3">
      <t>ゼンニホン</t>
    </rPh>
    <rPh sb="6" eb="10">
      <t>レンメイハッコウ</t>
    </rPh>
    <rPh sb="17" eb="19">
      <t>シ;</t>
    </rPh>
    <rPh sb="20" eb="24">
      <t>ガクシュウジテン</t>
    </rPh>
    <rPh sb="29" eb="31">
      <t>サンショウ</t>
    </rPh>
    <phoneticPr fontId="4"/>
  </si>
  <si>
    <t>1. 香川
2. 広島
3. 長野
4. 秋田</t>
    <rPh sb="3" eb="5">
      <t>カガワ</t>
    </rPh>
    <rPh sb="9" eb="11">
      <t>ヒロシマ</t>
    </rPh>
    <rPh sb="15" eb="17">
      <t>ナガノ</t>
    </rPh>
    <rPh sb="21" eb="23">
      <t>アキタ</t>
    </rPh>
    <phoneticPr fontId="4"/>
  </si>
  <si>
    <t>広島の手話は宮島にある厳島神社の鳥居の形から作られています。</t>
    <rPh sb="0" eb="2">
      <t>ヒロシマ</t>
    </rPh>
    <rPh sb="3" eb="5">
      <t>シ;</t>
    </rPh>
    <rPh sb="6" eb="8">
      <t>ミヤジマ</t>
    </rPh>
    <rPh sb="11" eb="13">
      <t>イツクシマ</t>
    </rPh>
    <rPh sb="13" eb="15">
      <t>ジンジャ</t>
    </rPh>
    <rPh sb="16" eb="18">
      <t>トリイ</t>
    </rPh>
    <rPh sb="19" eb="20">
      <t>ｓｈ</t>
    </rPh>
    <rPh sb="22" eb="23">
      <t>ツク</t>
    </rPh>
    <phoneticPr fontId="4"/>
  </si>
  <si>
    <t>1. 気温
2. プライバシー
3. オーバー
4. 詳細</t>
    <rPh sb="3" eb="5">
      <t>キオン</t>
    </rPh>
    <rPh sb="27" eb="29">
      <t>ショウサイ</t>
    </rPh>
    <phoneticPr fontId="4"/>
  </si>
  <si>
    <t>1. 生きる
2. 訓練
3. 基準
4. 材料</t>
    <rPh sb="3" eb="4">
      <t>イ</t>
    </rPh>
    <rPh sb="10" eb="12">
      <t>クンレン</t>
    </rPh>
    <rPh sb="16" eb="18">
      <t>キジュン</t>
    </rPh>
    <rPh sb="22" eb="24">
      <t>ザイリョウ</t>
    </rPh>
    <phoneticPr fontId="4"/>
  </si>
  <si>
    <t>【基準】以外はすべて両手こぶしを使った手話表現です。</t>
    <rPh sb="1" eb="3">
      <t>キジュン</t>
    </rPh>
    <rPh sb="4" eb="6">
      <t>イガイ</t>
    </rPh>
    <rPh sb="10" eb="12">
      <t>リョウテ</t>
    </rPh>
    <rPh sb="16" eb="17">
      <t>ツカ</t>
    </rPh>
    <rPh sb="19" eb="26">
      <t>シヒ;d;</t>
    </rPh>
    <phoneticPr fontId="4"/>
  </si>
  <si>
    <t>1. 災害
2. 非
3. 北陸
4. 虹</t>
    <rPh sb="3" eb="5">
      <t>サイガイ</t>
    </rPh>
    <rPh sb="9" eb="10">
      <t>ヒ</t>
    </rPh>
    <rPh sb="14" eb="16">
      <t>ホクリク</t>
    </rPh>
    <rPh sb="20" eb="21">
      <t>ニジ</t>
    </rPh>
    <phoneticPr fontId="4"/>
  </si>
  <si>
    <t>【虹】の手話は事象そのものから成り立っています。ちなみに虹を七色と認識しているのは日本の特徴のようです。</t>
    <rPh sb="1" eb="2">
      <t>ニジ</t>
    </rPh>
    <rPh sb="4" eb="6">
      <t>シ;</t>
    </rPh>
    <rPh sb="7" eb="9">
      <t>ジショウ</t>
    </rPh>
    <rPh sb="15" eb="16">
      <t>ナ</t>
    </rPh>
    <rPh sb="17" eb="18">
      <t>タ</t>
    </rPh>
    <rPh sb="28" eb="29">
      <t>ニジ</t>
    </rPh>
    <rPh sb="30" eb="32">
      <t>ナナショク</t>
    </rPh>
    <rPh sb="33" eb="35">
      <t>ニンシキ</t>
    </rPh>
    <rPh sb="41" eb="52">
      <t>ン;ノトクチョウノヨウd;</t>
    </rPh>
    <phoneticPr fontId="4"/>
  </si>
  <si>
    <t>1. 音の大きさ
2. 音の長さ
3. 音の高さ
4. 音色</t>
    <rPh sb="3" eb="4">
      <t>オト</t>
    </rPh>
    <rPh sb="5" eb="6">
      <t>オオ</t>
    </rPh>
    <rPh sb="12" eb="13">
      <t>オト</t>
    </rPh>
    <rPh sb="14" eb="15">
      <t>ナガ</t>
    </rPh>
    <rPh sb="20" eb="21">
      <t>オト</t>
    </rPh>
    <rPh sb="22" eb="23">
      <t>タカ</t>
    </rPh>
    <rPh sb="28" eb="30">
      <t>オトイロ</t>
    </rPh>
    <phoneticPr fontId="4"/>
  </si>
  <si>
    <t>音の三要素は「音の高さ」「音の大きさ」「音色」の３つからなります。</t>
    <rPh sb="0" eb="1">
      <t>オト</t>
    </rPh>
    <rPh sb="2" eb="5">
      <t>サンヨウソ</t>
    </rPh>
    <rPh sb="7" eb="8">
      <t>オト</t>
    </rPh>
    <rPh sb="9" eb="10">
      <t>タカ</t>
    </rPh>
    <rPh sb="13" eb="14">
      <t>オト</t>
    </rPh>
    <rPh sb="15" eb="16">
      <t>オオ</t>
    </rPh>
    <rPh sb="20" eb="22">
      <t>オトイロ</t>
    </rPh>
    <phoneticPr fontId="4"/>
  </si>
  <si>
    <t>1. 障害者基本法
2. 障害者差別解消法
3. 障害者総合支援法
4. 障害者自立支援法</t>
    <rPh sb="3" eb="9">
      <t>ショ;シャキホンホウ</t>
    </rPh>
    <rPh sb="13" eb="21">
      <t>ショ;シャサベツカイショウホウ</t>
    </rPh>
    <rPh sb="25" eb="33">
      <t>ショ;シャソウゴウシエンホウ</t>
    </rPh>
    <rPh sb="37" eb="45">
      <t>ショ;シャジリツシエンホウ</t>
    </rPh>
    <phoneticPr fontId="4"/>
  </si>
  <si>
    <t>2011年の障害者基本法改正で第3条第11項第3号に規定されたことによって言語性が認められたといわれています。</t>
    <rPh sb="4" eb="5">
      <t>ネン</t>
    </rPh>
    <rPh sb="6" eb="14">
      <t>ショ;シャキホンホウカイセイ</t>
    </rPh>
    <rPh sb="15" eb="16">
      <t>ダイ</t>
    </rPh>
    <rPh sb="26" eb="28">
      <t>キテイ</t>
    </rPh>
    <rPh sb="37" eb="40">
      <t>ゲンゴセイ</t>
    </rPh>
    <rPh sb="41" eb="42">
      <t>ミト</t>
    </rPh>
    <phoneticPr fontId="4"/>
  </si>
  <si>
    <t>1. 目で見るテレビ
2. 目で聴くテレビ
3. 耳で見るテレビ
4. 耳で聴くテレビ</t>
    <rPh sb="3" eb="4">
      <t>メ</t>
    </rPh>
    <rPh sb="5" eb="6">
      <t>ミ</t>
    </rPh>
    <rPh sb="14" eb="15">
      <t>メ</t>
    </rPh>
    <rPh sb="16" eb="17">
      <t>キ</t>
    </rPh>
    <rPh sb="25" eb="26">
      <t>ミミ</t>
    </rPh>
    <rPh sb="27" eb="28">
      <t>ミ</t>
    </rPh>
    <rPh sb="36" eb="37">
      <t>ミミ</t>
    </rPh>
    <rPh sb="38" eb="39">
      <t>キ</t>
    </rPh>
    <phoneticPr fontId="4"/>
  </si>
  <si>
    <t>1995年の阪神淡路大震災の反省を踏まえて1998年から手話と字幕を付けた目で聴くテレビがスタートしました。</t>
    <rPh sb="4" eb="5">
      <t>ネン</t>
    </rPh>
    <rPh sb="6" eb="13">
      <t>ハンシンアワジダイシンサイ</t>
    </rPh>
    <rPh sb="14" eb="16">
      <t>ハンセイ</t>
    </rPh>
    <rPh sb="17" eb="18">
      <t>フ</t>
    </rPh>
    <rPh sb="25" eb="26">
      <t>ネン</t>
    </rPh>
    <rPh sb="28" eb="30">
      <t>シ;</t>
    </rPh>
    <rPh sb="31" eb="33">
      <t>ジマク</t>
    </rPh>
    <rPh sb="34" eb="35">
      <t>ツ</t>
    </rPh>
    <rPh sb="37" eb="38">
      <t>メ</t>
    </rPh>
    <rPh sb="39" eb="40">
      <t>キ</t>
    </rPh>
    <phoneticPr fontId="4"/>
  </si>
  <si>
    <t>1. バリアフリー
2. 社会モデル
3. インクルージョン
4. リハビリテーション</t>
    <rPh sb="13" eb="15">
      <t>シャカイ</t>
    </rPh>
    <phoneticPr fontId="4"/>
  </si>
  <si>
    <t>バリアフリーは高齢者や障害者等が生活する上での障壁（バリア）を除去（フリー）することです。社会モデルは高齢者や障害者等が生活するうえで障壁となっているものは社会にあるという考え方です。</t>
    <rPh sb="7" eb="10">
      <t>コウレイシャ</t>
    </rPh>
    <rPh sb="11" eb="15">
      <t>ショ;シャトウ</t>
    </rPh>
    <rPh sb="16" eb="18">
      <t>セイカツ</t>
    </rPh>
    <rPh sb="20" eb="21">
      <t>ウエ</t>
    </rPh>
    <rPh sb="23" eb="25">
      <t>ショウヘキ</t>
    </rPh>
    <rPh sb="31" eb="33">
      <t>ジョキョ</t>
    </rPh>
    <rPh sb="45" eb="47">
      <t>シャカイ</t>
    </rPh>
    <rPh sb="51" eb="54">
      <t>コウレイシャ</t>
    </rPh>
    <rPh sb="55" eb="59">
      <t>ショ;シャトウ</t>
    </rPh>
    <rPh sb="60" eb="62">
      <t>セイカツ</t>
    </rPh>
    <rPh sb="67" eb="69">
      <t>ショウヘキ</t>
    </rPh>
    <rPh sb="78" eb="80">
      <t>シャカイ</t>
    </rPh>
    <rPh sb="86" eb="87">
      <t>カンガ</t>
    </rPh>
    <rPh sb="88" eb="92">
      <t>カタd;</t>
    </rPh>
    <phoneticPr fontId="4"/>
  </si>
  <si>
    <t>1. 中耳
2. 内耳
3. 外耳
4. 補聴器
5. 集音器
6. 低い
7. 高い
8. 伝音声
9. 感音性
10. 突発性</t>
    <rPh sb="3" eb="5">
      <t>チュウジ</t>
    </rPh>
    <rPh sb="9" eb="11">
      <t>ナイジ</t>
    </rPh>
    <rPh sb="15" eb="17">
      <t>ガイジ</t>
    </rPh>
    <rPh sb="21" eb="24">
      <t>ホチョウキ</t>
    </rPh>
    <rPh sb="28" eb="30">
      <t>シュウオン</t>
    </rPh>
    <rPh sb="30" eb="31">
      <t>キ</t>
    </rPh>
    <rPh sb="35" eb="36">
      <t>ヒク</t>
    </rPh>
    <rPh sb="41" eb="42">
      <t>タカ</t>
    </rPh>
    <rPh sb="47" eb="48">
      <t>デン</t>
    </rPh>
    <rPh sb="48" eb="50">
      <t>オンセイ</t>
    </rPh>
    <rPh sb="54" eb="57">
      <t>カンオンセイ</t>
    </rPh>
    <rPh sb="62" eb="64">
      <t>トッパツ</t>
    </rPh>
    <rPh sb="64" eb="65">
      <t>セイ</t>
    </rPh>
    <phoneticPr fontId="4"/>
  </si>
  <si>
    <t>8,2,4,7</t>
  </si>
  <si>
    <t>伝音性難聴は空気の振動としての音を内耳に伝える外耳道、鼓膜、耳小骨の部分に障害があるため、振動が伝わりに肉なって音が小さく聞こえる障害です。</t>
    <rPh sb="0" eb="2">
      <t>デンオン</t>
    </rPh>
    <rPh sb="2" eb="5">
      <t>セイナンチョウ</t>
    </rPh>
    <rPh sb="6" eb="8">
      <t>クウキ</t>
    </rPh>
    <rPh sb="23" eb="26">
      <t>ガイジドウ</t>
    </rPh>
    <rPh sb="27" eb="29">
      <t>コマク</t>
    </rPh>
    <rPh sb="30" eb="33">
      <t>ジショウコツ</t>
    </rPh>
    <rPh sb="34" eb="36">
      <t>ブf</t>
    </rPh>
    <rPh sb="37" eb="39">
      <t>ショ;</t>
    </rPh>
    <rPh sb="45" eb="47">
      <t>シンドウ</t>
    </rPh>
    <rPh sb="48" eb="49">
      <t>ツタ</t>
    </rPh>
    <rPh sb="52" eb="53">
      <t>ニク</t>
    </rPh>
    <rPh sb="56" eb="57">
      <t>オト</t>
    </rPh>
    <rPh sb="58" eb="59">
      <t>チイ</t>
    </rPh>
    <rPh sb="61" eb="62">
      <t>キ</t>
    </rPh>
    <rPh sb="65" eb="67">
      <t>ショ;</t>
    </rPh>
    <phoneticPr fontId="4"/>
  </si>
  <si>
    <t>1. 盲唖院
2. ろうあ協会
3. 歴史
4. 手話サークル
5. 平等
6. 教育
7. 差別
8. 自然</t>
    <rPh sb="3" eb="4">
      <t>モウ</t>
    </rPh>
    <rPh sb="4" eb="5">
      <t>ア</t>
    </rPh>
    <rPh sb="5" eb="6">
      <t>イン</t>
    </rPh>
    <rPh sb="13" eb="15">
      <t>キョウカイ</t>
    </rPh>
    <rPh sb="19" eb="21">
      <t>レキシ</t>
    </rPh>
    <rPh sb="25" eb="31">
      <t>シサ；</t>
    </rPh>
    <rPh sb="35" eb="37">
      <t>ビョウドウ</t>
    </rPh>
    <rPh sb="41" eb="43">
      <t>キョウイク</t>
    </rPh>
    <rPh sb="47" eb="49">
      <t>サベツ</t>
    </rPh>
    <rPh sb="53" eb="55">
      <t>シゼン</t>
    </rPh>
    <phoneticPr fontId="4"/>
  </si>
  <si>
    <t>1,6,7</t>
  </si>
  <si>
    <t>日本最初の聾学校として1878年に京都盲唖院、1880年には東京に訓盲院が設立され、教育の場で手話が取り入れられました。</t>
    <rPh sb="0" eb="4">
      <t>ン;サイショ</t>
    </rPh>
    <rPh sb="5" eb="8">
      <t>ロウガッコウ</t>
    </rPh>
    <rPh sb="15" eb="16">
      <t>ネン</t>
    </rPh>
    <rPh sb="17" eb="19">
      <t>キョウト</t>
    </rPh>
    <rPh sb="19" eb="20">
      <t>モウ</t>
    </rPh>
    <rPh sb="20" eb="21">
      <t>ア</t>
    </rPh>
    <rPh sb="21" eb="22">
      <t>イン</t>
    </rPh>
    <rPh sb="27" eb="28">
      <t>ネン</t>
    </rPh>
    <rPh sb="30" eb="32">
      <t>tk</t>
    </rPh>
    <rPh sb="33" eb="34">
      <t>クン</t>
    </rPh>
    <rPh sb="34" eb="35">
      <t>モウ</t>
    </rPh>
    <rPh sb="35" eb="36">
      <t>イン</t>
    </rPh>
    <rPh sb="37" eb="39">
      <t>セツリツ</t>
    </rPh>
    <rPh sb="42" eb="44">
      <t>キョウイク</t>
    </rPh>
    <rPh sb="45" eb="46">
      <t>バ</t>
    </rPh>
    <rPh sb="47" eb="49">
      <t>シ；</t>
    </rPh>
    <rPh sb="50" eb="51">
      <t>ト</t>
    </rPh>
    <rPh sb="52" eb="53">
      <t>イ</t>
    </rPh>
    <phoneticPr fontId="4"/>
  </si>
  <si>
    <t>1. 仕事
2. 集会
3. 活動
4. 円滑な
5. 一定の
6. お互いの
7. 共存社会
8. 共生社会</t>
    <rPh sb="3" eb="5">
      <t>シゴト</t>
    </rPh>
    <rPh sb="9" eb="11">
      <t>シュウカイ</t>
    </rPh>
    <rPh sb="15" eb="17">
      <t>カツドウ</t>
    </rPh>
    <rPh sb="21" eb="23">
      <t>エンカツ</t>
    </rPh>
    <rPh sb="28" eb="30">
      <t>イッテイ</t>
    </rPh>
    <rPh sb="36" eb="38">
      <t>l</t>
    </rPh>
    <rPh sb="43" eb="47">
      <t>キョウゾンシャカイ</t>
    </rPh>
    <rPh sb="51" eb="55">
      <t>キョウセイシャカイ</t>
    </rPh>
    <phoneticPr fontId="4"/>
  </si>
  <si>
    <t>3,4,8</t>
  </si>
  <si>
    <t>この法律の目的は「すべての障害者があらゆる分野の活動に参加するためにはその必要とする情報の十分な取得利用・円滑な意思疎通が極めて重要であり、障害者による情報の取得利用・意思疎通にかかる施策を総合的に推進し、共生社会の実現に資する」こととされています。</t>
    <rPh sb="2" eb="4">
      <t>ホウリツ</t>
    </rPh>
    <rPh sb="5" eb="7">
      <t>モクテキ</t>
    </rPh>
    <rPh sb="13" eb="16">
      <t>ショ;シャ</t>
    </rPh>
    <rPh sb="21" eb="23">
      <t>ブンヤ</t>
    </rPh>
    <rPh sb="24" eb="26">
      <t>カツドウ</t>
    </rPh>
    <rPh sb="27" eb="73">
      <t>サンカスルタメニハソノヒツヨウトスルジョ;ノジュウfナシュトクリヨウ･エンカツナイシソツウガキワメテジュウヨウデアリ､ショ;シャ</t>
    </rPh>
    <rPh sb="76" eb="78">
      <t>ジョ;</t>
    </rPh>
    <rPh sb="79" eb="83">
      <t>シュトクリヨウ</t>
    </rPh>
    <rPh sb="84" eb="88">
      <t>イシソツウ</t>
    </rPh>
    <rPh sb="92" eb="94">
      <t>シサク</t>
    </rPh>
    <rPh sb="95" eb="98">
      <t>ソウゴウテキ</t>
    </rPh>
    <rPh sb="99" eb="101">
      <t>スイシン</t>
    </rPh>
    <rPh sb="103" eb="107">
      <t>キョウセイシャカイ</t>
    </rPh>
    <rPh sb="108" eb="110">
      <t>ジツゲン</t>
    </rPh>
    <rPh sb="111" eb="112">
      <t>シ</t>
    </rPh>
    <phoneticPr fontId="4"/>
  </si>
  <si>
    <t>1. 手話の位置
2. 手指の動き
3. 語順
4. 趣旨の形
5. 頭の動き
6. 顔の表情
7. 体の向き
8. 手のひらの向き</t>
    <rPh sb="3" eb="5">
      <t>シ;</t>
    </rPh>
    <rPh sb="6" eb="8">
      <t>イチ</t>
    </rPh>
    <rPh sb="12" eb="14">
      <t>シュシ</t>
    </rPh>
    <rPh sb="15" eb="16">
      <t>ウゴ</t>
    </rPh>
    <rPh sb="21" eb="23">
      <t>ゴジュン</t>
    </rPh>
    <rPh sb="27" eb="29">
      <t>シュシ</t>
    </rPh>
    <rPh sb="30" eb="31">
      <t>ｓｈ</t>
    </rPh>
    <rPh sb="35" eb="36">
      <t>アタマ</t>
    </rPh>
    <rPh sb="37" eb="38">
      <t>ウゴ</t>
    </rPh>
    <rPh sb="43" eb="44">
      <t>カオ</t>
    </rPh>
    <rPh sb="45" eb="47">
      <t>ヒョウジョウ</t>
    </rPh>
    <rPh sb="51" eb="52">
      <t>カラダ</t>
    </rPh>
    <rPh sb="53" eb="54">
      <t>ム</t>
    </rPh>
    <rPh sb="59" eb="60">
      <t>テ</t>
    </rPh>
    <rPh sb="64" eb="65">
      <t>ム</t>
    </rPh>
    <phoneticPr fontId="4"/>
  </si>
  <si>
    <t>8,1,2</t>
  </si>
  <si>
    <t>1. 全国手話研修センター
2. 全国手話通訳問題研究会
3. 全日本ろうあ連盟
4. イラスト
5. 文章
6. 日本語対応手話
7. 映像
8. 標準手話</t>
    <rPh sb="3" eb="9">
      <t>ゼンコクシ;ケンシュウ</t>
    </rPh>
    <rPh sb="17" eb="28">
      <t>ゼンコクシ;ツウヤクモンダイケンキュウカイ</t>
    </rPh>
    <rPh sb="32" eb="35">
      <t>ゼンニホン</t>
    </rPh>
    <rPh sb="38" eb="40">
      <t>レンメイ</t>
    </rPh>
    <rPh sb="52" eb="54">
      <t>ブンショウ</t>
    </rPh>
    <rPh sb="58" eb="65">
      <t>ニホンゴタlシ;</t>
    </rPh>
    <rPh sb="69" eb="71">
      <t>エイゾウ</t>
    </rPh>
    <rPh sb="75" eb="79">
      <t>ヒョウジュンシ;</t>
    </rPh>
    <phoneticPr fontId="4"/>
  </si>
  <si>
    <t>標準手話の全国的な普及と手話サークルの発展に貢献し、日本手話研究所設立への流れを作りました。</t>
    <rPh sb="0" eb="4">
      <t>ヒョウジュンシ;</t>
    </rPh>
    <rPh sb="5" eb="8">
      <t>ゼンコクテキ</t>
    </rPh>
    <rPh sb="9" eb="11">
      <t>フキュウ</t>
    </rPh>
    <rPh sb="12" eb="18">
      <t>シサ;</t>
    </rPh>
    <phoneticPr fontId="4"/>
  </si>
  <si>
    <t>1. 障害者年金手帳
2. 身体障害者手帳
3. 厚生年金手帳
4. 筆談ボード
5. 補聴器
6. 携帯電話
7. 40デシベル
8. 70デシベル</t>
    <rPh sb="3" eb="10">
      <t>ショ;シャネンキンテチョウ</t>
    </rPh>
    <rPh sb="14" eb="21">
      <t>シンタイショ;シャテチョウ</t>
    </rPh>
    <rPh sb="25" eb="31">
      <t>コウセイネンキンテチョウ</t>
    </rPh>
    <rPh sb="35" eb="37">
      <t>ヒツダン</t>
    </rPh>
    <rPh sb="44" eb="47">
      <t>ホチョウキ</t>
    </rPh>
    <rPh sb="51" eb="55">
      <t>ケイタイデンワ</t>
    </rPh>
    <phoneticPr fontId="4"/>
  </si>
  <si>
    <t>2,5,8</t>
  </si>
  <si>
    <t>現在、軽度・中度難聴者に対する補聴器購入費助成に取り組む自治体は増えていますが、少ない状況です。対象年齢が全年齢・65歳以上、18歳以上など自治体によってばらばらです。</t>
    <rPh sb="0" eb="2">
      <t>ゲz</t>
    </rPh>
    <rPh sb="3" eb="5">
      <t>ケイド</t>
    </rPh>
    <rPh sb="6" eb="11">
      <t>チュウドナンチョウシャ</t>
    </rPh>
    <rPh sb="12" eb="13">
      <t>タイ</t>
    </rPh>
    <rPh sb="15" eb="23">
      <t>ホチョウキコウニュウヒジョセイ</t>
    </rPh>
    <rPh sb="24" eb="25">
      <t>ト</t>
    </rPh>
    <rPh sb="26" eb="27">
      <t>ク</t>
    </rPh>
    <rPh sb="28" eb="31">
      <t>ジチタイ</t>
    </rPh>
    <rPh sb="32" eb="33">
      <t>フ</t>
    </rPh>
    <rPh sb="40" eb="41">
      <t>スク</t>
    </rPh>
    <rPh sb="43" eb="45">
      <t>ジョk</t>
    </rPh>
    <rPh sb="48" eb="52">
      <t>タイショウネンレイ</t>
    </rPh>
    <rPh sb="53" eb="56">
      <t>ゼンネンレイ</t>
    </rPh>
    <rPh sb="59" eb="62">
      <t>サイイジョウ</t>
    </rPh>
    <rPh sb="65" eb="68">
      <t>サイイジョウ</t>
    </rPh>
    <rPh sb="70" eb="73">
      <t>ジチタイ</t>
    </rPh>
    <phoneticPr fontId="4"/>
  </si>
  <si>
    <t>1. 頭脳
2. ことば
3. 声の調子
4. 指文字
5. 言語コミュニケーション
6. 非言語コミュニケーション
7. 文字
8. メール</t>
    <rPh sb="3" eb="5">
      <t>ズノウ</t>
    </rPh>
    <rPh sb="16" eb="17">
      <t>コエ</t>
    </rPh>
    <rPh sb="18" eb="20">
      <t>チョウシ</t>
    </rPh>
    <rPh sb="24" eb="27">
      <t>ユビモジ</t>
    </rPh>
    <rPh sb="31" eb="42">
      <t>ゲンゴcc;</t>
    </rPh>
    <rPh sb="46" eb="49">
      <t>ヒゲンゴ</t>
    </rPh>
    <rPh sb="62" eb="64">
      <t>モジ</t>
    </rPh>
    <phoneticPr fontId="4"/>
  </si>
  <si>
    <t>2,6,3</t>
  </si>
  <si>
    <t>言葉以外の手段を使って伝える非言語コミュニケーションをうまく使うことで相手により分かりやすく伝えることもあります。</t>
    <rPh sb="0" eb="4">
      <t>コトバイガイ</t>
    </rPh>
    <rPh sb="5" eb="7">
      <t>シュダン</t>
    </rPh>
    <rPh sb="8" eb="9">
      <t>ツカ</t>
    </rPh>
    <rPh sb="11" eb="12">
      <t>ツタ</t>
    </rPh>
    <rPh sb="14" eb="26">
      <t>ヒゲンゴcc;</t>
    </rPh>
    <rPh sb="30" eb="31">
      <t>ツカ</t>
    </rPh>
    <rPh sb="35" eb="37">
      <t>アイテ</t>
    </rPh>
    <rPh sb="40" eb="41">
      <t>ワ</t>
    </rPh>
    <rPh sb="46" eb="47">
      <t>ツタ</t>
    </rPh>
    <phoneticPr fontId="4"/>
  </si>
  <si>
    <t>1. 視覚化
2. 視覚
3. 聴覚
4. 標準化
5. 方言
6. 概念
7. 筆談
8. 手話</t>
    <rPh sb="3" eb="6">
      <t>シカクカ</t>
    </rPh>
    <rPh sb="10" eb="12">
      <t>シカク</t>
    </rPh>
    <rPh sb="16" eb="18">
      <t>チョウカク</t>
    </rPh>
    <rPh sb="22" eb="25">
      <t>ヒョウジュンカ</t>
    </rPh>
    <rPh sb="29" eb="31">
      <t>ホウゲン</t>
    </rPh>
    <rPh sb="35" eb="37">
      <t>ガイネン</t>
    </rPh>
    <rPh sb="41" eb="43">
      <t>ヒツダン</t>
    </rPh>
    <rPh sb="47" eb="49">
      <t>シ;</t>
    </rPh>
    <phoneticPr fontId="4"/>
  </si>
  <si>
    <t>8,3,1</t>
  </si>
  <si>
    <t>ろう者は音声言語を視覚化した文字を見て理解できますが耳から入る情報で文字の理解を深めたりすることができないこともあり、文字は苦手だという方がいます。聴覚で知る情報を視覚化すれば聞こえない人・聞こえにくい人はもちろん、聞こえる人にも優しい社会になるでしょう。</t>
    <rPh sb="2" eb="69">
      <t>シャハオンセイゲンゴヲシカクカシタモジヲミテリカイデキマスガミミカラハイルジョ;デモジノリカイヲフカメタリスルコトガdケイナイコトモアリ､モジハニガテダトイウカタ</t>
    </rPh>
    <rPh sb="74" eb="76">
      <t>チョウカク</t>
    </rPh>
    <rPh sb="77" eb="78">
      <t>シ</t>
    </rPh>
    <rPh sb="79" eb="81">
      <t>ジョ;</t>
    </rPh>
    <rPh sb="82" eb="85">
      <t>シカクカ</t>
    </rPh>
    <rPh sb="88" eb="89">
      <t>キ</t>
    </rPh>
    <rPh sb="93" eb="94">
      <t>ヒト</t>
    </rPh>
    <rPh sb="95" eb="96">
      <t>キ</t>
    </rPh>
    <rPh sb="101" eb="102">
      <t>r</t>
    </rPh>
    <rPh sb="108" eb="109">
      <t>キ</t>
    </rPh>
    <rPh sb="112" eb="113">
      <t>r</t>
    </rPh>
    <phoneticPr fontId="4"/>
  </si>
  <si>
    <t>hoi</t>
    <phoneticPr fontId="7"/>
  </si>
  <si>
    <t>（ア）難聴の場合は、音を（イ）に伝える部分の障害のため音が小さくなってしまいますが（イ）に異常がない場合は（ウ）で十分に大きな音に増幅すれば聞き取りは改善されます。（ウ）の装用効果がかなり（エ）と言えます。</t>
    <rPh sb="3" eb="5">
      <t>ナンチョウ</t>
    </rPh>
    <rPh sb="6" eb="8">
      <t>バアイ</t>
    </rPh>
    <rPh sb="10" eb="11">
      <t>オト</t>
    </rPh>
    <rPh sb="16" eb="17">
      <t>ツタ</t>
    </rPh>
    <rPh sb="19" eb="21">
      <t>ブf</t>
    </rPh>
    <rPh sb="22" eb="24">
      <t>ショ;</t>
    </rPh>
    <rPh sb="27" eb="28">
      <t>オト</t>
    </rPh>
    <rPh sb="29" eb="30">
      <t>チイ</t>
    </rPh>
    <rPh sb="45" eb="47">
      <t>イジョウ</t>
    </rPh>
    <rPh sb="50" eb="52">
      <t>バアイ</t>
    </rPh>
    <rPh sb="57" eb="59">
      <t>ジュウf</t>
    </rPh>
    <rPh sb="60" eb="61">
      <t>オオ</t>
    </rPh>
    <rPh sb="63" eb="64">
      <t>オト</t>
    </rPh>
    <rPh sb="65" eb="67">
      <t>ゾウフク</t>
    </rPh>
    <rPh sb="70" eb="71">
      <t>キ</t>
    </rPh>
    <rPh sb="72" eb="73">
      <t>ト</t>
    </rPh>
    <rPh sb="75" eb="77">
      <t>カイゼン</t>
    </rPh>
    <rPh sb="86" eb="90">
      <t>ソウヨウコウカ</t>
    </rPh>
    <rPh sb="98" eb="99">
      <t>イ</t>
    </rPh>
    <phoneticPr fontId="4"/>
  </si>
  <si>
    <t>日本では1878年、京都に（ア）が設立されました。手話はろう児の集団形成とともに（イ）を通じて形成され、ろう者の集団の中で発展したものと考えられます。この時代は聞こえないという障害ゆえに（ウ）や社会的偏見がありました。</t>
    <rPh sb="0" eb="2">
      <t>ン;</t>
    </rPh>
    <rPh sb="8" eb="9">
      <t>ネン</t>
    </rPh>
    <rPh sb="10" eb="12">
      <t>キョウト</t>
    </rPh>
    <rPh sb="17" eb="19">
      <t>セツリツ</t>
    </rPh>
    <rPh sb="25" eb="27">
      <t>シ;</t>
    </rPh>
    <rPh sb="30" eb="31">
      <t>ジ</t>
    </rPh>
    <rPh sb="32" eb="36">
      <t>シュウダンケイセイ</t>
    </rPh>
    <rPh sb="44" eb="45">
      <t>ツウ</t>
    </rPh>
    <rPh sb="47" eb="49">
      <t>ケイセイ</t>
    </rPh>
    <rPh sb="54" eb="55">
      <t>シャ</t>
    </rPh>
    <rPh sb="56" eb="58">
      <t>シュウダン</t>
    </rPh>
    <rPh sb="59" eb="60">
      <t>ナカ</t>
    </rPh>
    <rPh sb="61" eb="63">
      <t>ハッテン</t>
    </rPh>
    <rPh sb="68" eb="69">
      <t>カンガ</t>
    </rPh>
    <rPh sb="77" eb="79">
      <t>ジダイ</t>
    </rPh>
    <rPh sb="80" eb="81">
      <t>キ</t>
    </rPh>
    <rPh sb="88" eb="90">
      <t>ショ;</t>
    </rPh>
    <rPh sb="97" eb="102">
      <t>シャカイテキヘンケン</t>
    </rPh>
    <phoneticPr fontId="4"/>
  </si>
  <si>
    <t>2022年5月に障害者情報アクセシビリティ・コミュニケーション施策推進法が施行されました。この法律はすべての障害者があらゆる分野の（ア）に参加するためには情報の十分な取得利用や（イ）意思疎通が極めて重要であることから障害者による情報の十分な取得利用や（イ）意思疎通が極めて重要であることから障害者による情報の取得利用・意思疎通にかかる施策を総合的に推進し、（ウ）の実現に資するために制定されました。</t>
    <rPh sb="4" eb="5">
      <t>ネン</t>
    </rPh>
    <rPh sb="6" eb="7">
      <t>ガツ</t>
    </rPh>
    <rPh sb="8" eb="13">
      <t>ショ;シャジョ;</t>
    </rPh>
    <rPh sb="31" eb="33">
      <t>シサク</t>
    </rPh>
    <rPh sb="33" eb="36">
      <t>スイシンホウ</t>
    </rPh>
    <rPh sb="37" eb="39">
      <t>シコウ</t>
    </rPh>
    <rPh sb="47" eb="49">
      <t>ホウリツ</t>
    </rPh>
    <rPh sb="54" eb="57">
      <t>ショ;シャ</t>
    </rPh>
    <rPh sb="62" eb="64">
      <t>ブンヤ</t>
    </rPh>
    <rPh sb="69" eb="71">
      <t>サンカ</t>
    </rPh>
    <rPh sb="77" eb="79">
      <t>ジョ;</t>
    </rPh>
    <rPh sb="80" eb="82">
      <t>ジュウf</t>
    </rPh>
    <rPh sb="83" eb="87">
      <t>シュトクリヨウ</t>
    </rPh>
    <rPh sb="91" eb="95">
      <t>イシソツウ</t>
    </rPh>
    <rPh sb="96" eb="97">
      <t>キワ</t>
    </rPh>
    <rPh sb="99" eb="101">
      <t>ジュウヨウ</t>
    </rPh>
    <rPh sb="108" eb="111">
      <t>ショ;シャ</t>
    </rPh>
    <rPh sb="114" eb="116">
      <t>ジョ;</t>
    </rPh>
    <rPh sb="117" eb="119">
      <t>ジュウf</t>
    </rPh>
    <rPh sb="120" eb="124">
      <t>シュトクリヨウ</t>
    </rPh>
    <rPh sb="128" eb="132">
      <t>イシソツウ</t>
    </rPh>
    <rPh sb="133" eb="134">
      <t>キワ</t>
    </rPh>
    <rPh sb="136" eb="138">
      <t>ジュウヨウ</t>
    </rPh>
    <rPh sb="145" eb="176">
      <t>ショ;シャニヨルジョ;ノシュトクリヨウ･イシソツウニカカルシサクヲソウゴウテキニスイシン</t>
    </rPh>
    <rPh sb="182" eb="184">
      <t>ジツゲン</t>
    </rPh>
    <rPh sb="185" eb="186">
      <t>シ</t>
    </rPh>
    <rPh sb="191" eb="193">
      <t>セイテイ</t>
    </rPh>
    <phoneticPr fontId="4"/>
  </si>
  <si>
    <t>手話の【夜】と【～なる】では（ア）が異なり、【思う】と【心】では（イ）が異なります。また【裁判】と【人事異動】では（ウ）が異なります。このような例から手話という言語は一定の要素が複雑に組み合わさって構成されているといえます。</t>
    <rPh sb="0" eb="2">
      <t>シ;</t>
    </rPh>
    <rPh sb="4" eb="5">
      <t>ヨル</t>
    </rPh>
    <rPh sb="18" eb="19">
      <t>コト</t>
    </rPh>
    <rPh sb="23" eb="24">
      <t>オモ</t>
    </rPh>
    <rPh sb="28" eb="29">
      <t>h;</t>
    </rPh>
    <rPh sb="36" eb="37">
      <t>コト</t>
    </rPh>
    <rPh sb="45" eb="47">
      <t>サイバン</t>
    </rPh>
    <rPh sb="50" eb="54">
      <t>ジンジイドウ</t>
    </rPh>
    <rPh sb="61" eb="62">
      <t>コト</t>
    </rPh>
    <rPh sb="72" eb="73">
      <t>レイ</t>
    </rPh>
    <rPh sb="75" eb="80">
      <t>シ;tl</t>
    </rPh>
    <rPh sb="80" eb="82">
      <t>ゲンゴ</t>
    </rPh>
    <rPh sb="83" eb="85">
      <t>イッテイ</t>
    </rPh>
    <rPh sb="86" eb="88">
      <t>ヨウソ</t>
    </rPh>
    <rPh sb="89" eb="91">
      <t>フクザツ</t>
    </rPh>
    <rPh sb="92" eb="93">
      <t>ク</t>
    </rPh>
    <rPh sb="94" eb="95">
      <t>ア</t>
    </rPh>
    <rPh sb="99" eb="101">
      <t>コウセイ</t>
    </rPh>
    <phoneticPr fontId="4"/>
  </si>
  <si>
    <t>（ア）が1969年に発効した「わたしたちの手話」は手話を（イ）で紹介したわが国では初めての本格的な手話単語集でした。それは（ウ）として位置づけられています。</t>
    <rPh sb="8" eb="9">
      <t>ネン</t>
    </rPh>
    <rPh sb="10" eb="12">
      <t>ハッコウ</t>
    </rPh>
    <rPh sb="21" eb="23">
      <t>シ;</t>
    </rPh>
    <rPh sb="25" eb="27">
      <t>シ;</t>
    </rPh>
    <rPh sb="32" eb="34">
      <t>ショウカイ</t>
    </rPh>
    <rPh sb="38" eb="39">
      <t>クニ</t>
    </rPh>
    <rPh sb="41" eb="42">
      <t>ハジ</t>
    </rPh>
    <rPh sb="45" eb="48">
      <t>ホンカクテキ</t>
    </rPh>
    <rPh sb="49" eb="53">
      <t>シタ;</t>
    </rPh>
    <rPh sb="53" eb="54">
      <t>シュウ</t>
    </rPh>
    <rPh sb="67" eb="69">
      <t>イチ</t>
    </rPh>
    <phoneticPr fontId="4"/>
  </si>
  <si>
    <t>（ア）の交付があれば、障害福祉の窓口に申請することで（イ）の交付を受けられます。しかし、両耳の聴力レベルが（ウ）未満の場合は（ア）が交付されないため制度の対象外となり、全額自己負担となります。</t>
    <rPh sb="4" eb="6">
      <t>コウフ</t>
    </rPh>
    <rPh sb="11" eb="15">
      <t>ショ;フクシ</t>
    </rPh>
    <rPh sb="16" eb="18">
      <t>マドグチ</t>
    </rPh>
    <rPh sb="19" eb="21">
      <t>シンセイ</t>
    </rPh>
    <rPh sb="30" eb="32">
      <t>コウフ</t>
    </rPh>
    <rPh sb="33" eb="34">
      <t>ウ</t>
    </rPh>
    <rPh sb="44" eb="46">
      <t>リョウミミ</t>
    </rPh>
    <rPh sb="47" eb="49">
      <t>チョウリョク</t>
    </rPh>
    <rPh sb="56" eb="58">
      <t>ミマン</t>
    </rPh>
    <rPh sb="59" eb="61">
      <t>バアイ</t>
    </rPh>
    <rPh sb="66" eb="68">
      <t>コウフ</t>
    </rPh>
    <rPh sb="74" eb="76">
      <t>セイド</t>
    </rPh>
    <rPh sb="77" eb="80">
      <t>タイショウガイ</t>
    </rPh>
    <rPh sb="84" eb="90">
      <t>ゼンガクジコフタン</t>
    </rPh>
    <phoneticPr fontId="4"/>
  </si>
  <si>
    <t>私たちは（ア）を使いお互いの感情や意思を伝えあっていますが（ア）よりも表情、四川、身振りなどのほうがより大切な役割を担っていることがあります。これらの（イ）にはメイクや服装、呼吸や（ウ）などもはいります。</t>
    <rPh sb="0" eb="4">
      <t>wテャ</t>
    </rPh>
    <rPh sb="8" eb="9">
      <t>ツカ</t>
    </rPh>
    <rPh sb="11" eb="13">
      <t>l</t>
    </rPh>
    <rPh sb="14" eb="16">
      <t>カンジョウ</t>
    </rPh>
    <rPh sb="17" eb="19">
      <t>イシ</t>
    </rPh>
    <rPh sb="20" eb="21">
      <t>ツタ</t>
    </rPh>
    <rPh sb="52" eb="54">
      <t>タイセツ</t>
    </rPh>
    <rPh sb="55" eb="57">
      <t>ヤクワリ</t>
    </rPh>
    <rPh sb="58" eb="59">
      <t>ニナ</t>
    </rPh>
    <rPh sb="84" eb="86">
      <t>フクソウ</t>
    </rPh>
    <rPh sb="87" eb="89">
      <t>コキュウ</t>
    </rPh>
    <phoneticPr fontId="4"/>
  </si>
  <si>
    <t>世界には数千もの言語があると言われていますがその伝達方法を見ると音声言語と（ア）言語に二分されます。音声言語は（イ）に依存するだけではありません。文字は音声言語を（ウ）したものです。そのため、文字はろう者も聞こえる人も双方が共通に利用できます。</t>
    <rPh sb="0" eb="2">
      <t>セカイ</t>
    </rPh>
    <rPh sb="4" eb="6">
      <t>スウセン</t>
    </rPh>
    <rPh sb="8" eb="10">
      <t>ゲンゴ</t>
    </rPh>
    <rPh sb="14" eb="15">
      <t>イ</t>
    </rPh>
    <rPh sb="24" eb="28">
      <t>デンタツホウホウ</t>
    </rPh>
    <rPh sb="29" eb="30">
      <t>ミ</t>
    </rPh>
    <rPh sb="32" eb="36">
      <t>オンセイゲンゴ</t>
    </rPh>
    <rPh sb="40" eb="42">
      <t>ゲンゴ</t>
    </rPh>
    <rPh sb="43" eb="45">
      <t>ニブン</t>
    </rPh>
    <rPh sb="50" eb="54">
      <t>オンセイゲンゴ</t>
    </rPh>
    <rPh sb="59" eb="61">
      <t>イソン</t>
    </rPh>
    <rPh sb="73" eb="75">
      <t>モジ</t>
    </rPh>
    <rPh sb="76" eb="80">
      <t>オンセイゲンゴ</t>
    </rPh>
    <rPh sb="96" eb="98">
      <t>モジ</t>
    </rPh>
    <rPh sb="101" eb="102">
      <t>シャ</t>
    </rPh>
    <rPh sb="103" eb="104">
      <t>キ</t>
    </rPh>
    <rPh sb="107" eb="108">
      <t>r</t>
    </rPh>
    <rPh sb="109" eb="111">
      <t>ソウホウ</t>
    </rPh>
    <rPh sb="112" eb="114">
      <t>キョウツウ</t>
    </rPh>
    <rPh sb="115" eb="117">
      <t>リヨウ</t>
    </rPh>
    <phoneticPr fontId="4"/>
  </si>
  <si>
    <t>スピーチ</t>
    <phoneticPr fontId="3"/>
  </si>
  <si>
    <t>4択問題</t>
    <phoneticPr fontId="3"/>
  </si>
  <si>
    <t>穴埋め形式</t>
    <phoneticPr fontId="3"/>
  </si>
  <si>
    <t>私たちは（ア）を使いお互いの感情や意思を伝えあっていますが（ア）よりも表情、視線、身振りなどのほうがより大切な役割を担っていることがあります。これらの（イ）にはメイクや服装、呼吸や（ウ）などもはいります。</t>
    <rPh sb="0" eb="4">
      <t>wテャ</t>
    </rPh>
    <rPh sb="8" eb="9">
      <t>ツカ</t>
    </rPh>
    <rPh sb="11" eb="13">
      <t>l</t>
    </rPh>
    <rPh sb="14" eb="16">
      <t>カンジョウ</t>
    </rPh>
    <rPh sb="17" eb="19">
      <t>イシ</t>
    </rPh>
    <rPh sb="20" eb="21">
      <t>ツタ</t>
    </rPh>
    <rPh sb="38" eb="40">
      <t>シセン</t>
    </rPh>
    <rPh sb="52" eb="54">
      <t>タイセツ</t>
    </rPh>
    <rPh sb="55" eb="57">
      <t>ヤクワリ</t>
    </rPh>
    <rPh sb="58" eb="59">
      <t>ニナ</t>
    </rPh>
    <rPh sb="84" eb="86">
      <t>フクソウ</t>
    </rPh>
    <rPh sb="87" eb="89">
      <t>コキュウ</t>
    </rPh>
    <phoneticPr fontId="3"/>
  </si>
  <si>
    <t>（ア）が1969年に発行した「わたしたちの手話」は手話を（イ）で紹介したわが国では初めての本格的な手話単語集でした。それは（ウ）として位置づけられています。</t>
    <rPh sb="8" eb="9">
      <t>ネン</t>
    </rPh>
    <rPh sb="10" eb="12">
      <t>ハッコウ</t>
    </rPh>
    <rPh sb="21" eb="23">
      <t>シ;</t>
    </rPh>
    <rPh sb="25" eb="27">
      <t>シ;</t>
    </rPh>
    <rPh sb="32" eb="34">
      <t>ショウカイ</t>
    </rPh>
    <rPh sb="38" eb="39">
      <t>クニ</t>
    </rPh>
    <rPh sb="41" eb="42">
      <t>ハジ</t>
    </rPh>
    <rPh sb="45" eb="48">
      <t>ホンカクテキ</t>
    </rPh>
    <rPh sb="49" eb="53">
      <t>シタ;</t>
    </rPh>
    <rPh sb="53" eb="54">
      <t>シュウ</t>
    </rPh>
    <rPh sb="67" eb="69">
      <t>イチ</t>
    </rPh>
    <phoneticPr fontId="3"/>
  </si>
  <si>
    <t>基本単語</t>
    <rPh sb="0" eb="4">
      <t>キホンタンゴ</t>
    </rPh>
    <phoneticPr fontId="3"/>
  </si>
  <si>
    <t>1. ありがとう
2. こんばんは
3. あいさつ
4. おやすみ</t>
    <phoneticPr fontId="3"/>
  </si>
  <si>
    <t>Answer</t>
    <phoneticPr fontId="3"/>
  </si>
  <si>
    <t>1. 忙しい
2. 新しい
3. 浅い
4. 大きい</t>
    <rPh sb="3" eb="4">
      <t>イソガ</t>
    </rPh>
    <rPh sb="10" eb="11">
      <t>アタラ</t>
    </rPh>
    <rPh sb="17" eb="18">
      <t>アサ</t>
    </rPh>
    <rPh sb="23" eb="24">
      <t>オオ</t>
    </rPh>
    <phoneticPr fontId="3"/>
  </si>
  <si>
    <t>1. 方法
2. 安心
3. 得意
4. 質問</t>
    <rPh sb="3" eb="5">
      <t>ホウホウ</t>
    </rPh>
    <rPh sb="9" eb="11">
      <t>アンシン</t>
    </rPh>
    <rPh sb="15" eb="17">
      <t>トクイ</t>
    </rPh>
    <rPh sb="21" eb="23">
      <t>シツモン</t>
    </rPh>
    <phoneticPr fontId="3"/>
  </si>
  <si>
    <t>1. 考える
2. 行く
3. 使う
4. 作る</t>
    <rPh sb="3" eb="4">
      <t>カンガ</t>
    </rPh>
    <rPh sb="10" eb="11">
      <t>イ</t>
    </rPh>
    <rPh sb="16" eb="17">
      <t>ツカ</t>
    </rPh>
    <rPh sb="22" eb="23">
      <t>ツク</t>
    </rPh>
    <phoneticPr fontId="3"/>
  </si>
  <si>
    <t>1. 18
2. 36
3. 72
4. 96</t>
    <phoneticPr fontId="3"/>
  </si>
  <si>
    <t>短文</t>
    <rPh sb="0" eb="2">
      <t>タンブン</t>
    </rPh>
    <phoneticPr fontId="3"/>
  </si>
  <si>
    <t>名前は何ですか？</t>
    <rPh sb="0" eb="2">
      <t>ナマエ</t>
    </rPh>
    <rPh sb="3" eb="4">
      <t>ナン</t>
    </rPh>
    <phoneticPr fontId="3"/>
  </si>
  <si>
    <t>仕事は何ですか？</t>
    <rPh sb="0" eb="2">
      <t>シゴト</t>
    </rPh>
    <rPh sb="3" eb="4">
      <t>ナン</t>
    </rPh>
    <phoneticPr fontId="3"/>
  </si>
  <si>
    <t>何曜日に行きますか？</t>
    <rPh sb="0" eb="3">
      <t>ナンヨウビ</t>
    </rPh>
    <rPh sb="4" eb="5">
      <t>イ</t>
    </rPh>
    <phoneticPr fontId="3"/>
  </si>
  <si>
    <t>得意なのは誰ですか？</t>
    <rPh sb="0" eb="2">
      <t>トクイ</t>
    </rPh>
    <rPh sb="5" eb="6">
      <t>ダレ</t>
    </rPh>
    <phoneticPr fontId="3"/>
  </si>
  <si>
    <t>どこで教えていますか？</t>
    <rPh sb="3" eb="4">
      <t>オシ</t>
    </rPh>
    <phoneticPr fontId="3"/>
  </si>
  <si>
    <t>映画はどうでしたか？</t>
    <rPh sb="0" eb="2">
      <t>エイガ</t>
    </rPh>
    <phoneticPr fontId="3"/>
  </si>
  <si>
    <t>Option</t>
    <phoneticPr fontId="3"/>
  </si>
  <si>
    <t>単語の意味を選択してください。</t>
    <rPh sb="0" eb="2">
      <t>タンゴ</t>
    </rPh>
    <rPh sb="3" eb="5">
      <t>イミ</t>
    </rPh>
    <rPh sb="6" eb="8">
      <t>センタク</t>
    </rPh>
    <phoneticPr fontId="3"/>
  </si>
  <si>
    <t>1. 山田
2. 池田
3. 山本
4. 吉川</t>
    <rPh sb="3" eb="5">
      <t>ヤマダ</t>
    </rPh>
    <rPh sb="9" eb="11">
      <t>イケダ</t>
    </rPh>
    <rPh sb="15" eb="17">
      <t>ヤマモト</t>
    </rPh>
    <rPh sb="21" eb="23">
      <t>ヨシカワ</t>
    </rPh>
    <phoneticPr fontId="3"/>
  </si>
  <si>
    <t>1. ラーメン屋
2. スーパー 
3. パチンコ
4. 料理人</t>
    <rPh sb="7" eb="8">
      <t>ヤ</t>
    </rPh>
    <rPh sb="29" eb="32">
      <t>リョウリニン</t>
    </rPh>
    <phoneticPr fontId="3"/>
  </si>
  <si>
    <t>1. 月曜日
2. 土曜日
3. 木曜日
4. 金曜日</t>
    <rPh sb="3" eb="6">
      <t>ゲy</t>
    </rPh>
    <rPh sb="10" eb="13">
      <t>ドy</t>
    </rPh>
    <rPh sb="17" eb="20">
      <t>モy</t>
    </rPh>
    <rPh sb="24" eb="27">
      <t>キy</t>
    </rPh>
    <phoneticPr fontId="3"/>
  </si>
  <si>
    <t>1. 息子
2. 父
3. 母
4. 娘</t>
    <rPh sb="3" eb="5">
      <t>ムスコ</t>
    </rPh>
    <rPh sb="9" eb="10">
      <t>チチ</t>
    </rPh>
    <rPh sb="14" eb="15">
      <t>ハハ</t>
    </rPh>
    <rPh sb="19" eb="20">
      <t>ムスメ</t>
    </rPh>
    <phoneticPr fontId="3"/>
  </si>
  <si>
    <t>1. サークル
2. クラブ
3. 幼稚園
4. 近所</t>
    <rPh sb="18" eb="21">
      <t>ヨウチエン</t>
    </rPh>
    <rPh sb="25" eb="27">
      <t>キンジョ</t>
    </rPh>
    <phoneticPr fontId="3"/>
  </si>
  <si>
    <t>ストーリー</t>
    <phoneticPr fontId="3"/>
  </si>
  <si>
    <t>準1</t>
    <rPh sb="0" eb="1">
      <t>ジュン</t>
    </rPh>
    <phoneticPr fontId="3"/>
  </si>
  <si>
    <t>1. 寺
2. 神社
3. お墓
4. ホテル</t>
    <rPh sb="3" eb="4">
      <t>テラ</t>
    </rPh>
    <rPh sb="8" eb="10">
      <t>ジンジャ</t>
    </rPh>
    <rPh sb="15" eb="16">
      <t>ハカ</t>
    </rPh>
    <phoneticPr fontId="3"/>
  </si>
  <si>
    <t>1. 徹夜
2. 行事
3. 中止
4. バス</t>
    <rPh sb="3" eb="5">
      <t>テツヤ</t>
    </rPh>
    <rPh sb="9" eb="11">
      <t>ギョウジ</t>
    </rPh>
    <rPh sb="15" eb="17">
      <t>チュウシ</t>
    </rPh>
    <phoneticPr fontId="3"/>
  </si>
  <si>
    <t>1. 岐阜
2. 埼玉
3. 香川
4. 長崎</t>
    <rPh sb="3" eb="5">
      <t>ギフ</t>
    </rPh>
    <rPh sb="9" eb="11">
      <t>サイタマ</t>
    </rPh>
    <rPh sb="15" eb="17">
      <t>カガワ</t>
    </rPh>
    <rPh sb="21" eb="23">
      <t>ナガサキ</t>
    </rPh>
    <phoneticPr fontId="3"/>
  </si>
  <si>
    <t>1. 牛
2. カニ
3. エビ
4. 亀</t>
    <rPh sb="3" eb="4">
      <t>ウシ</t>
    </rPh>
    <rPh sb="20" eb="21">
      <t>カメ</t>
    </rPh>
    <phoneticPr fontId="3"/>
  </si>
  <si>
    <t>1. 1時間
2. 1日
3. 1年
4. 1か月</t>
    <rPh sb="4" eb="6">
      <t>jk</t>
    </rPh>
    <rPh sb="11" eb="12">
      <t>h</t>
    </rPh>
    <rPh sb="17" eb="18">
      <t>ネン</t>
    </rPh>
    <rPh sb="24" eb="25">
      <t>ゲツ</t>
    </rPh>
    <phoneticPr fontId="3"/>
  </si>
  <si>
    <t>どこで勉強していますか？</t>
    <rPh sb="3" eb="5">
      <t>ベンキョウ</t>
    </rPh>
    <phoneticPr fontId="3"/>
  </si>
  <si>
    <t>大阪へ行くのはいつですか？</t>
    <rPh sb="0" eb="2">
      <t>オオサカ</t>
    </rPh>
    <rPh sb="3" eb="4">
      <t>イ</t>
    </rPh>
    <phoneticPr fontId="3"/>
  </si>
  <si>
    <t>彼女にプレゼントするのはなぜですか？</t>
    <rPh sb="0" eb="2">
      <t>カノジョ</t>
    </rPh>
    <phoneticPr fontId="3"/>
  </si>
  <si>
    <t>母はどこで暮らしていますか？</t>
    <rPh sb="0" eb="1">
      <t>ハハ</t>
    </rPh>
    <rPh sb="5" eb="6">
      <t>ク</t>
    </rPh>
    <phoneticPr fontId="3"/>
  </si>
  <si>
    <t>1. 出席する
2. 叱る
3. 操作する
4. 尊敬する</t>
    <rPh sb="3" eb="5">
      <t>シュッセキ</t>
    </rPh>
    <rPh sb="11" eb="12">
      <t>シカ</t>
    </rPh>
    <rPh sb="17" eb="19">
      <t>ソウサ</t>
    </rPh>
    <rPh sb="25" eb="27">
      <t>ソンケイ</t>
    </rPh>
    <phoneticPr fontId="3"/>
  </si>
  <si>
    <t>1. 決める
2. 守る
3. 助ける
4. 助けられる</t>
    <rPh sb="3" eb="4">
      <t>キ</t>
    </rPh>
    <rPh sb="10" eb="11">
      <t>マモ</t>
    </rPh>
    <rPh sb="16" eb="17">
      <t>タス</t>
    </rPh>
    <rPh sb="23" eb="24">
      <t>タス</t>
    </rPh>
    <phoneticPr fontId="3"/>
  </si>
  <si>
    <t>1. 事務所
2. コンビニ
3. スーパー
4. 建物</t>
    <rPh sb="3" eb="6">
      <t>ジムショ</t>
    </rPh>
    <rPh sb="26" eb="28">
      <t>タテモノ</t>
    </rPh>
    <phoneticPr fontId="3"/>
  </si>
  <si>
    <t>1. 熱い
2. 痛い
3. うるさい
4. 苦しい</t>
    <rPh sb="3" eb="4">
      <t>アツ</t>
    </rPh>
    <rPh sb="9" eb="10">
      <t>イタ</t>
    </rPh>
    <rPh sb="23" eb="24">
      <t>クル</t>
    </rPh>
    <phoneticPr fontId="3"/>
  </si>
  <si>
    <t>1. チョコレート
2. プリン
3. バナナ
4. オレンジ</t>
    <phoneticPr fontId="3"/>
  </si>
  <si>
    <t>1. エネルギー
2. サロン
3. ワークショップ
4. カナダ</t>
    <phoneticPr fontId="3"/>
  </si>
  <si>
    <t>1. 会長
2. 室長
3. 議長
4. 部長</t>
    <rPh sb="3" eb="5">
      <t>カイチョウ</t>
    </rPh>
    <rPh sb="9" eb="11">
      <t>シツチョウ</t>
    </rPh>
    <rPh sb="15" eb="17">
      <t>ギチョウ</t>
    </rPh>
    <rPh sb="21" eb="23">
      <t>ブチョウ</t>
    </rPh>
    <phoneticPr fontId="3"/>
  </si>
  <si>
    <t>1. そろそろ
2. いよいよ
3. そのまま
4. そのうち</t>
    <phoneticPr fontId="3"/>
  </si>
  <si>
    <t>1. 私立
2. 個性
3. 公立
4. 比率</t>
    <rPh sb="3" eb="5">
      <t>シリツ</t>
    </rPh>
    <rPh sb="9" eb="11">
      <t>コセイ</t>
    </rPh>
    <rPh sb="15" eb="17">
      <t>コウリツ</t>
    </rPh>
    <rPh sb="21" eb="23">
      <t>ヒリツ</t>
    </rPh>
    <phoneticPr fontId="3"/>
  </si>
  <si>
    <t>1. 憲法
2. 法律
3. ルール
4. 条例</t>
    <rPh sb="3" eb="5">
      <t>ケンポウ</t>
    </rPh>
    <rPh sb="9" eb="11">
      <t>ホウリツ</t>
    </rPh>
    <rPh sb="22" eb="24">
      <t>ジョウレイ</t>
    </rPh>
    <phoneticPr fontId="3"/>
  </si>
  <si>
    <t>1. タイ
2. オホーツク
3. オーストラリア
4. オーストリア</t>
    <phoneticPr fontId="3"/>
  </si>
  <si>
    <t>1. ズルい
2. 大切
3. ショック
4. 参考</t>
    <rPh sb="10" eb="12">
      <t>タイセツ</t>
    </rPh>
    <rPh sb="24" eb="26">
      <t>サンコウ</t>
    </rPh>
    <phoneticPr fontId="3"/>
  </si>
  <si>
    <t>1. だます
2. だまされる
3. 発見する
4. 確認する</t>
    <rPh sb="19" eb="21">
      <t>ハッケン</t>
    </rPh>
    <rPh sb="27" eb="29">
      <t>カk</t>
    </rPh>
    <phoneticPr fontId="3"/>
  </si>
  <si>
    <t>1. 2時から4時
2. 3時から5時
3. 8時から9時
4. 10時から12時</t>
    <rPh sb="4" eb="5">
      <t>ジ</t>
    </rPh>
    <rPh sb="8" eb="9">
      <t>ジ</t>
    </rPh>
    <rPh sb="14" eb="15">
      <t>ジ</t>
    </rPh>
    <rPh sb="18" eb="19">
      <t>ジ</t>
    </rPh>
    <rPh sb="24" eb="25">
      <t>ジ</t>
    </rPh>
    <rPh sb="28" eb="29">
      <t>ジ</t>
    </rPh>
    <rPh sb="35" eb="36">
      <t>ジ</t>
    </rPh>
    <rPh sb="40" eb="41">
      <t>ジ</t>
    </rPh>
    <phoneticPr fontId="3"/>
  </si>
  <si>
    <t>手話サークルは何時から何時までですか？</t>
    <rPh sb="0" eb="6">
      <t>シサ;</t>
    </rPh>
    <rPh sb="7" eb="9">
      <t>ナンジ</t>
    </rPh>
    <rPh sb="11" eb="13">
      <t>ナンジ</t>
    </rPh>
    <phoneticPr fontId="3"/>
  </si>
  <si>
    <t>1. 図書館
2. 学校
3. 友達の家
4. 自分の家</t>
    <rPh sb="3" eb="6">
      <t>トショカン</t>
    </rPh>
    <rPh sb="10" eb="12">
      <t>ガッコウ</t>
    </rPh>
    <rPh sb="16" eb="18">
      <t>トモダチ</t>
    </rPh>
    <rPh sb="19" eb="20">
      <t>イエ</t>
    </rPh>
    <rPh sb="24" eb="26">
      <t>ジf</t>
    </rPh>
    <rPh sb="27" eb="28">
      <t>イエ</t>
    </rPh>
    <phoneticPr fontId="3"/>
  </si>
  <si>
    <t>1. 来週
2. 明日
3. 来年
4. お正月</t>
    <rPh sb="3" eb="5">
      <t>ライシュウ</t>
    </rPh>
    <rPh sb="9" eb="11">
      <t>アシタ</t>
    </rPh>
    <rPh sb="15" eb="17">
      <t>ライネン</t>
    </rPh>
    <rPh sb="22" eb="24">
      <t>ショウガツ</t>
    </rPh>
    <phoneticPr fontId="3"/>
  </si>
  <si>
    <t>1. 退院
2. 結婚
3. 謝罪
4. 感謝</t>
    <rPh sb="3" eb="5">
      <t>タイイン</t>
    </rPh>
    <rPh sb="9" eb="11">
      <t>ケッコン</t>
    </rPh>
    <rPh sb="15" eb="17">
      <t>シャザイ</t>
    </rPh>
    <rPh sb="21" eb="23">
      <t>カンシャ</t>
    </rPh>
    <phoneticPr fontId="3"/>
  </si>
  <si>
    <t>1. 奈良
2. 大阪
3. 東京
4. 広島</t>
    <rPh sb="3" eb="5">
      <t>ナラ</t>
    </rPh>
    <rPh sb="9" eb="11">
      <t>オオサカ</t>
    </rPh>
    <rPh sb="15" eb="17">
      <t>tk</t>
    </rPh>
    <rPh sb="21" eb="23">
      <t>ヒロシマ</t>
    </rPh>
    <phoneticPr fontId="3"/>
  </si>
  <si>
    <t>見に行ったのは何ですか？</t>
    <rPh sb="0" eb="1">
      <t>ミ</t>
    </rPh>
    <rPh sb="2" eb="3">
      <t>イ</t>
    </rPh>
    <rPh sb="7" eb="8">
      <t>ナン</t>
    </rPh>
    <phoneticPr fontId="3"/>
  </si>
  <si>
    <t>厳しいのは誰ですか？</t>
    <rPh sb="0" eb="1">
      <t>キビ</t>
    </rPh>
    <rPh sb="5" eb="6">
      <t>ダレ</t>
    </rPh>
    <phoneticPr fontId="3"/>
  </si>
  <si>
    <t>どこに転居しましたか？</t>
    <rPh sb="3" eb="5">
      <t>テンキョ</t>
    </rPh>
    <phoneticPr fontId="3"/>
  </si>
  <si>
    <t>なぜ心配なのですか？</t>
    <rPh sb="2" eb="4">
      <t>シンパイ</t>
    </rPh>
    <phoneticPr fontId="3"/>
  </si>
  <si>
    <t>気温のことをどう思っていますか？</t>
    <rPh sb="0" eb="2">
      <t>キオン</t>
    </rPh>
    <rPh sb="8" eb="9">
      <t>オモ</t>
    </rPh>
    <phoneticPr fontId="3"/>
  </si>
  <si>
    <t>1. 授業
2. 試合
3. 運動会
4. 文化祭</t>
    <rPh sb="3" eb="5">
      <t>ジュギョウ</t>
    </rPh>
    <rPh sb="9" eb="11">
      <t>シアイ</t>
    </rPh>
    <rPh sb="15" eb="18">
      <t>ウンドウカイ</t>
    </rPh>
    <rPh sb="22" eb="25">
      <t>ブンカサイ</t>
    </rPh>
    <phoneticPr fontId="3"/>
  </si>
  <si>
    <t>1. 父
2. 母
3. 先生
4. 祖父</t>
    <rPh sb="3" eb="4">
      <t>チチ</t>
    </rPh>
    <rPh sb="8" eb="9">
      <t>ハハ</t>
    </rPh>
    <rPh sb="13" eb="15">
      <t>センセイ</t>
    </rPh>
    <rPh sb="19" eb="21">
      <t>ソフ</t>
    </rPh>
    <phoneticPr fontId="3"/>
  </si>
  <si>
    <t>1. 札幌
2. 堺
3. 浜松
4. 九州</t>
    <rPh sb="3" eb="5">
      <t>サッポロ</t>
    </rPh>
    <rPh sb="9" eb="10">
      <t>サカイ</t>
    </rPh>
    <rPh sb="14" eb="16">
      <t>ハママツ</t>
    </rPh>
    <rPh sb="20" eb="22">
      <t>キュウシュウ</t>
    </rPh>
    <phoneticPr fontId="3"/>
  </si>
  <si>
    <t>1. 水不足
2. コメ不足
3. 電力不足
4. 少子高齢化</t>
    <rPh sb="3" eb="6">
      <t>ミズブソク</t>
    </rPh>
    <rPh sb="12" eb="14">
      <t>ブソク</t>
    </rPh>
    <rPh sb="18" eb="22">
      <t>デンリョクブソク</t>
    </rPh>
    <rPh sb="26" eb="31">
      <t>ショウシコウレイカ</t>
    </rPh>
    <phoneticPr fontId="3"/>
  </si>
  <si>
    <t>1. 我慢できる
2. 悲しい
3. 落ち着く
4. 腹が立つ</t>
    <rPh sb="3" eb="5">
      <t>ガマン</t>
    </rPh>
    <rPh sb="12" eb="13">
      <t>カナ</t>
    </rPh>
    <rPh sb="19" eb="20">
      <t>オ</t>
    </rPh>
    <rPh sb="21" eb="22">
      <t>ツ</t>
    </rPh>
    <rPh sb="27" eb="28">
      <t>ハラ</t>
    </rPh>
    <rPh sb="29" eb="30">
      <t>タ</t>
    </rPh>
    <phoneticPr fontId="3"/>
  </si>
  <si>
    <t>私の仕事は何ですか？</t>
    <rPh sb="0" eb="1">
      <t>w</t>
    </rPh>
    <rPh sb="2" eb="4">
      <t>シゴト</t>
    </rPh>
    <rPh sb="5" eb="6">
      <t>ナン</t>
    </rPh>
    <phoneticPr fontId="3"/>
  </si>
  <si>
    <t>ストーリーナンバリング</t>
    <phoneticPr fontId="3"/>
  </si>
  <si>
    <t>何歳児を担当していますか？</t>
    <rPh sb="0" eb="3">
      <t>ナンサイジ</t>
    </rPh>
    <rPh sb="4" eb="6">
      <t>タントウ</t>
    </rPh>
    <phoneticPr fontId="3"/>
  </si>
  <si>
    <t>どんな子供になってほしいと思っていますか？</t>
    <rPh sb="3" eb="5">
      <t>コドモ</t>
    </rPh>
    <rPh sb="13" eb="14">
      <t>オモ</t>
    </rPh>
    <phoneticPr fontId="3"/>
  </si>
  <si>
    <t>手話サークル会員はどのような年齢層ですか？</t>
    <rPh sb="0" eb="6">
      <t>シサ;</t>
    </rPh>
    <rPh sb="6" eb="8">
      <t>カイイン</t>
    </rPh>
    <rPh sb="14" eb="17">
      <t>ネンレイソウ</t>
    </rPh>
    <phoneticPr fontId="3"/>
  </si>
  <si>
    <t>活動の場所はどこですか？</t>
    <rPh sb="0" eb="2">
      <t>カツドウ</t>
    </rPh>
    <rPh sb="3" eb="5">
      <t>バショ</t>
    </rPh>
    <phoneticPr fontId="3"/>
  </si>
  <si>
    <t>サークルの何を見直したいと言っていますか？</t>
    <rPh sb="5" eb="6">
      <t>ナニ</t>
    </rPh>
    <rPh sb="7" eb="9">
      <t>ミナオ</t>
    </rPh>
    <rPh sb="13" eb="14">
      <t>イ</t>
    </rPh>
    <phoneticPr fontId="3"/>
  </si>
  <si>
    <t>仕事をしている部署はどこですか？</t>
    <rPh sb="0" eb="2">
      <t>シゴト</t>
    </rPh>
    <rPh sb="7" eb="9">
      <t>ブショ</t>
    </rPh>
    <phoneticPr fontId="3"/>
  </si>
  <si>
    <t>ダイエットを始めた理由は何と言っていますか？</t>
    <rPh sb="6" eb="7">
      <t>ハジ</t>
    </rPh>
    <rPh sb="9" eb="11">
      <t>リユウ</t>
    </rPh>
    <rPh sb="12" eb="13">
      <t>ナニ</t>
    </rPh>
    <rPh sb="14" eb="15">
      <t>イ</t>
    </rPh>
    <phoneticPr fontId="3"/>
  </si>
  <si>
    <t>仕事中に倒れたのはなぜですか？</t>
    <rPh sb="0" eb="3">
      <t>シゴトチュウ</t>
    </rPh>
    <rPh sb="4" eb="5">
      <t>タオ</t>
    </rPh>
    <phoneticPr fontId="3"/>
  </si>
  <si>
    <t>1. 保育士
2. ホームヘルパー
3. 介護福祉士
4. 看護師</t>
    <rPh sb="3" eb="6">
      <t>ホイクシ</t>
    </rPh>
    <rPh sb="21" eb="26">
      <t>カイゴフクシシ</t>
    </rPh>
    <rPh sb="30" eb="33">
      <t>カンゴシ</t>
    </rPh>
    <phoneticPr fontId="3"/>
  </si>
  <si>
    <t>1. 2歳児
2. 3歳児
3. 4歳児
4. 5歳児</t>
    <rPh sb="4" eb="6">
      <t>サイジ</t>
    </rPh>
    <rPh sb="11" eb="13">
      <t>サイジ</t>
    </rPh>
    <rPh sb="18" eb="20">
      <t>サイジ</t>
    </rPh>
    <rPh sb="25" eb="27">
      <t>サイジ</t>
    </rPh>
    <phoneticPr fontId="3"/>
  </si>
  <si>
    <t>1. 想像力豊かな子
2. 誰にでも優しい子
3. 明るく元気な子
4. 両親を大切にする子</t>
    <rPh sb="3" eb="6">
      <t>ソウゾウリョク</t>
    </rPh>
    <rPh sb="6" eb="7">
      <t>ユタ</t>
    </rPh>
    <rPh sb="9" eb="10">
      <t>コ</t>
    </rPh>
    <rPh sb="14" eb="15">
      <t>ダレ</t>
    </rPh>
    <rPh sb="18" eb="19">
      <t>ヤサ</t>
    </rPh>
    <rPh sb="21" eb="22">
      <t>コ</t>
    </rPh>
    <rPh sb="26" eb="27">
      <t>アカ</t>
    </rPh>
    <rPh sb="29" eb="31">
      <t>ゲンキ</t>
    </rPh>
    <rPh sb="32" eb="33">
      <t>コ</t>
    </rPh>
    <rPh sb="37" eb="39">
      <t>リョウシン</t>
    </rPh>
    <rPh sb="40" eb="42">
      <t>タイセツ</t>
    </rPh>
    <rPh sb="45" eb="46">
      <t>コ</t>
    </rPh>
    <phoneticPr fontId="3"/>
  </si>
  <si>
    <t>1. 16歳から65歳
2. 19歳から81歳
3. 19歳から72歳
4. 60歳から99歳</t>
    <rPh sb="5" eb="6">
      <t>サイ</t>
    </rPh>
    <rPh sb="10" eb="11">
      <t>サイ</t>
    </rPh>
    <rPh sb="17" eb="18">
      <t>サイ</t>
    </rPh>
    <rPh sb="22" eb="23">
      <t>サイ</t>
    </rPh>
    <rPh sb="29" eb="30">
      <t>サイ</t>
    </rPh>
    <rPh sb="34" eb="35">
      <t>サイ</t>
    </rPh>
    <rPh sb="41" eb="42">
      <t>サイ</t>
    </rPh>
    <rPh sb="46" eb="47">
      <t>サイ</t>
    </rPh>
    <phoneticPr fontId="3"/>
  </si>
  <si>
    <t>1. 公民館
2. 福祉センター
3. スポーツ会館
4. 居酒屋</t>
    <rPh sb="3" eb="6">
      <t>コウミンカン</t>
    </rPh>
    <rPh sb="10" eb="12">
      <t>フクシ</t>
    </rPh>
    <rPh sb="24" eb="26">
      <t>カイカン</t>
    </rPh>
    <rPh sb="30" eb="33">
      <t>イザカヤ</t>
    </rPh>
    <phoneticPr fontId="3"/>
  </si>
  <si>
    <t>1. 会費
2. 規約
3. 活動日
4. 学習方法</t>
    <rPh sb="3" eb="5">
      <t>カイヒ</t>
    </rPh>
    <rPh sb="9" eb="11">
      <t>キヤク</t>
    </rPh>
    <rPh sb="15" eb="18">
      <t>カツドウビ</t>
    </rPh>
    <rPh sb="22" eb="26">
      <t>ガクシュウホウホウ</t>
    </rPh>
    <phoneticPr fontId="3"/>
  </si>
  <si>
    <t>1. 経理課
2. 営業課
3. 総務課
4. 管理課</t>
    <rPh sb="3" eb="6">
      <t>ケイリカ</t>
    </rPh>
    <rPh sb="10" eb="13">
      <t>エイギョウカ</t>
    </rPh>
    <rPh sb="17" eb="20">
      <t>ソウムカ</t>
    </rPh>
    <rPh sb="24" eb="27">
      <t>カンリカ</t>
    </rPh>
    <phoneticPr fontId="3"/>
  </si>
  <si>
    <t>1. 片思いの彼に好かれたいから
2. 太りすぎていたから
3. 痩せないと病気になると言われたから
4. ダイエットブームだから</t>
    <rPh sb="3" eb="5">
      <t>カタオモ</t>
    </rPh>
    <rPh sb="7" eb="8">
      <t>カレ</t>
    </rPh>
    <rPh sb="9" eb="10">
      <t>ス</t>
    </rPh>
    <rPh sb="20" eb="21">
      <t>フト</t>
    </rPh>
    <rPh sb="33" eb="34">
      <t>ヤ</t>
    </rPh>
    <rPh sb="38" eb="40">
      <t>ビョウキ</t>
    </rPh>
    <rPh sb="44" eb="45">
      <t>イ</t>
    </rPh>
    <phoneticPr fontId="3"/>
  </si>
  <si>
    <t>1. だるい
2. めまい
3. 空腹
4. 脳梗塞</t>
    <rPh sb="17" eb="19">
      <t>クウフク</t>
    </rPh>
    <rPh sb="23" eb="26">
      <t>ノウコウソク</t>
    </rPh>
    <phoneticPr fontId="3"/>
  </si>
  <si>
    <t>国会をテレビで見てがっかりしたのはなぜですか？</t>
    <rPh sb="0" eb="2">
      <t>コッカイ</t>
    </rPh>
    <rPh sb="7" eb="8">
      <t>ミ</t>
    </rPh>
    <phoneticPr fontId="3"/>
  </si>
  <si>
    <t>何について充実してほしいと言っていますか？</t>
    <rPh sb="0" eb="1">
      <t>ナニ</t>
    </rPh>
    <rPh sb="5" eb="7">
      <t>ジュウジツ</t>
    </rPh>
    <rPh sb="13" eb="14">
      <t>イ</t>
    </rPh>
    <phoneticPr fontId="3"/>
  </si>
  <si>
    <t>早期実現を期待しているのは何ですか？</t>
    <rPh sb="0" eb="4">
      <t>ソウキジツゲン</t>
    </rPh>
    <rPh sb="5" eb="7">
      <t>キタイ</t>
    </rPh>
    <rPh sb="13" eb="14">
      <t>ナン</t>
    </rPh>
    <phoneticPr fontId="3"/>
  </si>
  <si>
    <t>どんな話題が増えましたか？</t>
    <rPh sb="3" eb="5">
      <t>ワダイ</t>
    </rPh>
    <rPh sb="6" eb="7">
      <t>フ</t>
    </rPh>
    <phoneticPr fontId="3"/>
  </si>
  <si>
    <t>どんなことが不安ですか？</t>
    <rPh sb="6" eb="8">
      <t>フアン</t>
    </rPh>
    <phoneticPr fontId="3"/>
  </si>
  <si>
    <t>どんな心構えが大切だと言っていますか？</t>
    <rPh sb="3" eb="5">
      <t>h;ガマ</t>
    </rPh>
    <rPh sb="7" eb="9">
      <t>タイセツ</t>
    </rPh>
    <rPh sb="11" eb="12">
      <t>イ</t>
    </rPh>
    <phoneticPr fontId="3"/>
  </si>
  <si>
    <t>私が旅をする方法は何だと言っていますか？</t>
    <rPh sb="0" eb="1">
      <t>w</t>
    </rPh>
    <rPh sb="2" eb="3">
      <t>タビ</t>
    </rPh>
    <rPh sb="6" eb="8">
      <t>ホウホウ</t>
    </rPh>
    <rPh sb="9" eb="10">
      <t>ナン</t>
    </rPh>
    <rPh sb="12" eb="13">
      <t>イ</t>
    </rPh>
    <phoneticPr fontId="3"/>
  </si>
  <si>
    <t>明日はどこへ旅したいと言っていますか？</t>
    <rPh sb="0" eb="2">
      <t>アシタ</t>
    </rPh>
    <rPh sb="6" eb="7">
      <t>タビ</t>
    </rPh>
    <rPh sb="11" eb="12">
      <t>イ</t>
    </rPh>
    <phoneticPr fontId="3"/>
  </si>
  <si>
    <t>1. 居眠りしている議員がいるから
2. 官僚の作った答弁書を読んでいるから
3. スマホでゲームをしているから
4. 大臣へのお世辞が多いから</t>
    <rPh sb="3" eb="5">
      <t>イネム</t>
    </rPh>
    <rPh sb="10" eb="12">
      <t>ギイン</t>
    </rPh>
    <rPh sb="21" eb="23">
      <t>カンリョウ</t>
    </rPh>
    <rPh sb="24" eb="25">
      <t>ツク</t>
    </rPh>
    <rPh sb="27" eb="30">
      <t>トウベンショ</t>
    </rPh>
    <rPh sb="31" eb="32">
      <t>ヨ</t>
    </rPh>
    <rPh sb="60" eb="62">
      <t>ダイジン</t>
    </rPh>
    <rPh sb="65" eb="67">
      <t>セジ</t>
    </rPh>
    <rPh sb="68" eb="69">
      <t>オオ</t>
    </rPh>
    <phoneticPr fontId="3"/>
  </si>
  <si>
    <t>1. 学費無料化
2. 防衛費
3. コロナ対策
4. 子ども政策</t>
    <rPh sb="3" eb="8">
      <t>ガクヒムリョウカ</t>
    </rPh>
    <rPh sb="12" eb="15">
      <t>ボウエイヒ</t>
    </rPh>
    <rPh sb="22" eb="24">
      <t>タイサク</t>
    </rPh>
    <rPh sb="28" eb="29">
      <t>コ</t>
    </rPh>
    <rPh sb="31" eb="33">
      <t>セイサク</t>
    </rPh>
    <phoneticPr fontId="3"/>
  </si>
  <si>
    <t>1. 難聴児の施策に関する法
2. 手話言語法
3. 障害者雇用法
4. 憲法の改正法案</t>
    <rPh sb="3" eb="5">
      <t>ナンチョウ</t>
    </rPh>
    <rPh sb="5" eb="6">
      <t>ジ</t>
    </rPh>
    <rPh sb="7" eb="9">
      <t>シサク</t>
    </rPh>
    <rPh sb="10" eb="11">
      <t>カン</t>
    </rPh>
    <rPh sb="13" eb="14">
      <t>ホウ</t>
    </rPh>
    <rPh sb="18" eb="23">
      <t>シ;ゲンゴホウ</t>
    </rPh>
    <rPh sb="27" eb="33">
      <t>ショ;シャコヨウホウ</t>
    </rPh>
    <rPh sb="37" eb="39">
      <t>ケンポウ</t>
    </rPh>
    <rPh sb="40" eb="44">
      <t>カイセイホウアン</t>
    </rPh>
    <phoneticPr fontId="3"/>
  </si>
  <si>
    <t>1. 趣味のサークル活動
2. 年金
3. 健康や病気
4. 地域のボランティア活動</t>
    <rPh sb="3" eb="5">
      <t>シュミ</t>
    </rPh>
    <rPh sb="10" eb="12">
      <t>カツドウ</t>
    </rPh>
    <rPh sb="16" eb="18">
      <t>ネンキン</t>
    </rPh>
    <rPh sb="22" eb="24">
      <t>ケンコウ</t>
    </rPh>
    <rPh sb="25" eb="27">
      <t>ビョウキ</t>
    </rPh>
    <rPh sb="31" eb="33">
      <t>チイキ</t>
    </rPh>
    <rPh sb="40" eb="42">
      <t>カツドウ</t>
    </rPh>
    <phoneticPr fontId="3"/>
  </si>
  <si>
    <t>1. できなくなることが増えてくる
2. たくわえが減ってくる
3. 付き合いが減っていく
4. 手話通訳の依頼が増えていく</t>
    <rPh sb="12" eb="13">
      <t>フ</t>
    </rPh>
    <rPh sb="26" eb="27">
      <t>ヘ</t>
    </rPh>
    <rPh sb="35" eb="36">
      <t>ツ</t>
    </rPh>
    <rPh sb="37" eb="38">
      <t>ア</t>
    </rPh>
    <rPh sb="40" eb="41">
      <t>ヘ</t>
    </rPh>
    <rPh sb="49" eb="53">
      <t>シ;ツウヤク</t>
    </rPh>
    <rPh sb="54" eb="56">
      <t>イライ</t>
    </rPh>
    <rPh sb="57" eb="58">
      <t>フ</t>
    </rPh>
    <phoneticPr fontId="3"/>
  </si>
  <si>
    <t>1. 蓄えを減らさないようにする
2. 付き合いを積極的にする
3. できることがあると考える
4. 終活して覚悟を持っておく</t>
    <rPh sb="3" eb="4">
      <t>タクワ</t>
    </rPh>
    <rPh sb="6" eb="7">
      <t>ヘ</t>
    </rPh>
    <rPh sb="20" eb="21">
      <t>ツ</t>
    </rPh>
    <rPh sb="22" eb="23">
      <t>ア</t>
    </rPh>
    <rPh sb="25" eb="28">
      <t>セt;</t>
    </rPh>
    <rPh sb="44" eb="45">
      <t>カンガ</t>
    </rPh>
    <rPh sb="51" eb="53">
      <t>シュウカツ</t>
    </rPh>
    <rPh sb="55" eb="57">
      <t>カクゴ</t>
    </rPh>
    <rPh sb="58" eb="59">
      <t>モ</t>
    </rPh>
    <phoneticPr fontId="3"/>
  </si>
  <si>
    <t>1. 図書館の本を読む
2. 旅行の体験談を聞く
3. 映画を見る
4. テレビの旅番組を見る</t>
    <rPh sb="3" eb="6">
      <t>トショカン</t>
    </rPh>
    <rPh sb="7" eb="8">
      <t>ホン</t>
    </rPh>
    <rPh sb="9" eb="10">
      <t>ヨ</t>
    </rPh>
    <rPh sb="15" eb="17">
      <t>リョコウ</t>
    </rPh>
    <rPh sb="18" eb="21">
      <t>タイケンダン</t>
    </rPh>
    <rPh sb="22" eb="23">
      <t>キ</t>
    </rPh>
    <rPh sb="28" eb="30">
      <t>エイガ</t>
    </rPh>
    <rPh sb="31" eb="32">
      <t>ミ</t>
    </rPh>
    <rPh sb="41" eb="44">
      <t>タビb;</t>
    </rPh>
    <rPh sb="45" eb="46">
      <t>ミ</t>
    </rPh>
    <phoneticPr fontId="3"/>
  </si>
  <si>
    <t>この旅の方法は何が不要だと言っていますか？</t>
    <rPh sb="2" eb="3">
      <t>タビ</t>
    </rPh>
    <rPh sb="4" eb="6">
      <t>ホウホウ</t>
    </rPh>
    <rPh sb="7" eb="8">
      <t>ナニ</t>
    </rPh>
    <rPh sb="9" eb="11">
      <t>フヨウ</t>
    </rPh>
    <rPh sb="13" eb="14">
      <t>イ</t>
    </rPh>
    <phoneticPr fontId="3"/>
  </si>
  <si>
    <t>1. 観光パンフレット
2. ツアーガイド
3. パスポート
4. 交通費</t>
    <rPh sb="3" eb="5">
      <t>カンコウ</t>
    </rPh>
    <rPh sb="34" eb="37">
      <t>コウツウヒ</t>
    </rPh>
    <phoneticPr fontId="3"/>
  </si>
  <si>
    <t>1. ソウル
2. ハワイ
3. ベトナム
4. フィンランド</t>
    <phoneticPr fontId="3"/>
  </si>
  <si>
    <t>デフリンピックは初めての大会の時どんな名称でしたか。</t>
    <rPh sb="8" eb="9">
      <t>ハジ</t>
    </rPh>
    <rPh sb="12" eb="14">
      <t>タイカイ</t>
    </rPh>
    <rPh sb="15" eb="16">
      <t>トキ</t>
    </rPh>
    <rPh sb="19" eb="21">
      <t>メイショウ</t>
    </rPh>
    <phoneticPr fontId="3"/>
  </si>
  <si>
    <t>東京で開かれるデフリンピックは何回目の大会ですか。</t>
    <rPh sb="0" eb="2">
      <t>tk</t>
    </rPh>
    <rPh sb="3" eb="4">
      <t>ヒラ</t>
    </rPh>
    <rPh sb="15" eb="18">
      <t>ナンカイメ</t>
    </rPh>
    <rPh sb="19" eb="21">
      <t>タイカイ</t>
    </rPh>
    <phoneticPr fontId="3"/>
  </si>
  <si>
    <t>デフリンピックの開催をきっかけに願っていることは何ですか。</t>
    <rPh sb="8" eb="10">
      <t>カイサイ</t>
    </rPh>
    <rPh sb="16" eb="17">
      <t>ネガ</t>
    </rPh>
    <rPh sb="24" eb="25">
      <t>ナン</t>
    </rPh>
    <phoneticPr fontId="3"/>
  </si>
  <si>
    <t>どんな自治体が増えていると言っていますか？</t>
    <rPh sb="2" eb="14">
      <t>アジチタイガフエテイルトイ</t>
    </rPh>
    <phoneticPr fontId="3"/>
  </si>
  <si>
    <t>ろう者と手話の理解を広めるため作られているのは何と言っていますか？</t>
    <rPh sb="2" eb="3">
      <t>シャ</t>
    </rPh>
    <rPh sb="4" eb="6">
      <t>シ;</t>
    </rPh>
    <rPh sb="7" eb="9">
      <t>リカイ</t>
    </rPh>
    <rPh sb="10" eb="11">
      <t>ヒロ</t>
    </rPh>
    <rPh sb="15" eb="16">
      <t>ツク</t>
    </rPh>
    <rPh sb="23" eb="24">
      <t>ナニ</t>
    </rPh>
    <rPh sb="25" eb="26">
      <t>イ</t>
    </rPh>
    <phoneticPr fontId="3"/>
  </si>
  <si>
    <t>聞こえないと答えたらどんな対応をされましたか？</t>
    <rPh sb="0" eb="1">
      <t>キ</t>
    </rPh>
    <rPh sb="6" eb="7">
      <t>コタ</t>
    </rPh>
    <rPh sb="13" eb="15">
      <t>タl</t>
    </rPh>
    <phoneticPr fontId="3"/>
  </si>
  <si>
    <t>どんな意見を出しましたか？</t>
    <rPh sb="3" eb="5">
      <t>イケン</t>
    </rPh>
    <rPh sb="6" eb="7">
      <t>ダ</t>
    </rPh>
    <phoneticPr fontId="3"/>
  </si>
  <si>
    <t>行政から言われたことは何ですか？</t>
    <rPh sb="0" eb="2">
      <t>ギョウセイ</t>
    </rPh>
    <rPh sb="4" eb="5">
      <t>イ</t>
    </rPh>
    <rPh sb="11" eb="12">
      <t>ナン</t>
    </rPh>
    <phoneticPr fontId="3"/>
  </si>
  <si>
    <t>1. パラリンピック
2. 世界ろう者競技大会
3. 国際聴覚障害者競技大会
4. 世界ろう者スポーツ大会</t>
    <rPh sb="14" eb="16">
      <t>セカイ</t>
    </rPh>
    <rPh sb="18" eb="23">
      <t>シャキョウギタイカイ</t>
    </rPh>
    <rPh sb="27" eb="34">
      <t>コクサイチョウカクショ;シャ</t>
    </rPh>
    <rPh sb="34" eb="38">
      <t>キョウギタイカイ</t>
    </rPh>
    <rPh sb="42" eb="44">
      <t>セカイ</t>
    </rPh>
    <rPh sb="46" eb="51">
      <t>シャsp</t>
    </rPh>
    <rPh sb="51" eb="53">
      <t>タイカイ</t>
    </rPh>
    <phoneticPr fontId="3"/>
  </si>
  <si>
    <t>1. ろう者のスポーツ選手が増えてほしい
2. オリンピックにろう者選手がどんどん出場してほしい
3. ろう者や手話の理解が定着してほしい
4. 手話言語法が制定されてほしい</t>
    <rPh sb="5" eb="6">
      <t>シャ</t>
    </rPh>
    <rPh sb="11" eb="13">
      <t>センシュ</t>
    </rPh>
    <rPh sb="14" eb="15">
      <t>フ</t>
    </rPh>
    <rPh sb="33" eb="34">
      <t>シャ</t>
    </rPh>
    <rPh sb="34" eb="36">
      <t>センシュ</t>
    </rPh>
    <rPh sb="41" eb="43">
      <t>シュツジョウ</t>
    </rPh>
    <rPh sb="54" eb="55">
      <t>シャ</t>
    </rPh>
    <rPh sb="56" eb="58">
      <t>シュワ</t>
    </rPh>
    <rPh sb="59" eb="61">
      <t>リカイ</t>
    </rPh>
    <rPh sb="62" eb="64">
      <t>テイチャク</t>
    </rPh>
    <rPh sb="73" eb="78">
      <t>シ;ゲンゴホウ</t>
    </rPh>
    <rPh sb="79" eb="81">
      <t>セイテイ</t>
    </rPh>
    <phoneticPr fontId="3"/>
  </si>
  <si>
    <t>1. 手話言語条例を施行する
2. 手話通訳者を設置する
3. 帰社会見に手話通訳を付ける
4. 手話祭りを開催する</t>
    <rPh sb="3" eb="9">
      <t>シ;ゲンゴジョウレイ</t>
    </rPh>
    <rPh sb="10" eb="12">
      <t>セコウ</t>
    </rPh>
    <rPh sb="18" eb="23">
      <t>シ;ツウヤクシャ</t>
    </rPh>
    <rPh sb="24" eb="26">
      <t>セッチ</t>
    </rPh>
    <rPh sb="32" eb="34">
      <t>キシャ</t>
    </rPh>
    <rPh sb="34" eb="36">
      <t>カイケン</t>
    </rPh>
    <rPh sb="37" eb="41">
      <t>シ;ツウヤク</t>
    </rPh>
    <rPh sb="42" eb="43">
      <t>ツ</t>
    </rPh>
    <rPh sb="49" eb="52">
      <t>シ;マツ</t>
    </rPh>
    <rPh sb="54" eb="56">
      <t>カイサイ</t>
    </rPh>
    <phoneticPr fontId="3"/>
  </si>
  <si>
    <t>1. 辞書と動画
2. パンフレットと漫画
3. 辞書とホームページ
4. パンフレットと動画</t>
    <rPh sb="3" eb="5">
      <t>ジショ</t>
    </rPh>
    <rPh sb="6" eb="8">
      <t>ドウガ</t>
    </rPh>
    <rPh sb="19" eb="21">
      <t>マンガ</t>
    </rPh>
    <rPh sb="25" eb="27">
      <t>ジショ</t>
    </rPh>
    <rPh sb="45" eb="47">
      <t>ドウガ</t>
    </rPh>
    <phoneticPr fontId="3"/>
  </si>
  <si>
    <t>1. すみませんと言って立ち去った
2. すみませんと言って筆談してくれた
3. すみませんと言って手話を作ってくれた
4. すみませんと言って音声認識アプリを使ってくれた</t>
    <rPh sb="9" eb="10">
      <t>イ</t>
    </rPh>
    <rPh sb="12" eb="13">
      <t>タ</t>
    </rPh>
    <rPh sb="14" eb="15">
      <t>サ</t>
    </rPh>
    <rPh sb="27" eb="28">
      <t>イ</t>
    </rPh>
    <rPh sb="30" eb="32">
      <t>ヒツダン</t>
    </rPh>
    <rPh sb="47" eb="48">
      <t>イ</t>
    </rPh>
    <rPh sb="50" eb="52">
      <t>シ;</t>
    </rPh>
    <rPh sb="53" eb="54">
      <t>ツク</t>
    </rPh>
    <rPh sb="69" eb="70">
      <t>イ</t>
    </rPh>
    <rPh sb="72" eb="76">
      <t>オンセイニンシキ</t>
    </rPh>
    <rPh sb="80" eb="81">
      <t>ツカ</t>
    </rPh>
    <phoneticPr fontId="3"/>
  </si>
  <si>
    <t>1. テレビ番組に字幕を付けてほしい
2. 聴覚障害者のために番組を作ってほしい
3. 聞こえる人と同じ情報保障が欲しい
4. 障害者のための情報が欲しい</t>
    <rPh sb="6" eb="8">
      <t>b;</t>
    </rPh>
    <rPh sb="9" eb="11">
      <t>ジマク</t>
    </rPh>
    <rPh sb="12" eb="13">
      <t>ツ</t>
    </rPh>
    <rPh sb="22" eb="27">
      <t>チョウカクショ;シャ</t>
    </rPh>
    <rPh sb="31" eb="33">
      <t>b;</t>
    </rPh>
    <rPh sb="34" eb="35">
      <t>ツク</t>
    </rPh>
    <rPh sb="44" eb="45">
      <t>キ</t>
    </rPh>
    <rPh sb="48" eb="49">
      <t>r</t>
    </rPh>
    <rPh sb="50" eb="51">
      <t>オナ</t>
    </rPh>
    <rPh sb="52" eb="56">
      <t>ジョ;ホショウ</t>
    </rPh>
    <rPh sb="57" eb="58">
      <t>ホ</t>
    </rPh>
    <rPh sb="64" eb="67">
      <t>ショ;シャ</t>
    </rPh>
    <rPh sb="71" eb="73">
      <t>ジョ;</t>
    </rPh>
    <rPh sb="74" eb="75">
      <t>ホ</t>
    </rPh>
    <phoneticPr fontId="3"/>
  </si>
  <si>
    <t>1. 予算がなくてできない
2. 聴覚障害者が求める情報が分からない
3. 時間がなくてできない
4. 障害者のための情報が欲しい</t>
    <rPh sb="3" eb="5">
      <t>ヨサン</t>
    </rPh>
    <rPh sb="17" eb="22">
      <t>チョウカクショ;シャ</t>
    </rPh>
    <rPh sb="23" eb="24">
      <t>モト</t>
    </rPh>
    <rPh sb="26" eb="28">
      <t>ジョ;</t>
    </rPh>
    <rPh sb="29" eb="34">
      <t>ワs</t>
    </rPh>
    <rPh sb="38" eb="40">
      <t>jk</t>
    </rPh>
    <rPh sb="52" eb="63">
      <t>ショ;シャノタメノジョ;ガホ</t>
    </rPh>
    <phoneticPr fontId="3"/>
  </si>
  <si>
    <t>どういう見方をしていると言っていますか？</t>
    <rPh sb="4" eb="6">
      <t>ミカタ</t>
    </rPh>
    <rPh sb="12" eb="13">
      <t>イ</t>
    </rPh>
    <phoneticPr fontId="3"/>
  </si>
  <si>
    <t>1. 聴覚障害者は外国人という見方
2. 聴覚障害者も人間であるという見方
3. 人として平等ではなく聴覚障害者という見方
4. 人として聴覚障害者も平等という味方</t>
    <rPh sb="3" eb="8">
      <t>チョウカクショ;シャ</t>
    </rPh>
    <rPh sb="9" eb="12">
      <t>ガr</t>
    </rPh>
    <rPh sb="15" eb="17">
      <t>ミカタ</t>
    </rPh>
    <rPh sb="21" eb="26">
      <t>チョウカクショ;シャ</t>
    </rPh>
    <rPh sb="27" eb="29">
      <t>rゲン</t>
    </rPh>
    <rPh sb="35" eb="37">
      <t>ミカタ</t>
    </rPh>
    <rPh sb="41" eb="42">
      <t>r</t>
    </rPh>
    <rPh sb="45" eb="47">
      <t>ビョウドウ</t>
    </rPh>
    <rPh sb="51" eb="56">
      <t>チョウカクショ;シャ</t>
    </rPh>
    <rPh sb="59" eb="61">
      <t>ミカタ</t>
    </rPh>
    <rPh sb="65" eb="66">
      <t>r</t>
    </rPh>
    <rPh sb="69" eb="74">
      <t>チョウカクショ;シャ</t>
    </rPh>
    <rPh sb="75" eb="77">
      <t>ビョウドウ</t>
    </rPh>
    <rPh sb="80" eb="82">
      <t>ミカタ</t>
    </rPh>
    <phoneticPr fontId="3"/>
  </si>
  <si>
    <t>Detail</t>
    <phoneticPr fontId="3"/>
  </si>
  <si>
    <t>私の名前は山本じゅんきです。</t>
    <rPh sb="0" eb="1">
      <t>w</t>
    </rPh>
    <rPh sb="2" eb="4">
      <t>ナマエ</t>
    </rPh>
    <rPh sb="5" eb="7">
      <t>ヤマモト</t>
    </rPh>
    <phoneticPr fontId="3"/>
  </si>
  <si>
    <t>私はスーパーで働いています。</t>
    <rPh sb="0" eb="2">
      <t>ウァ</t>
    </rPh>
    <rPh sb="7" eb="8">
      <t>ハタラ</t>
    </rPh>
    <phoneticPr fontId="3"/>
  </si>
  <si>
    <t>母は金曜日に料理を習いに行きます。</t>
    <rPh sb="0" eb="1">
      <t>ハハ</t>
    </rPh>
    <rPh sb="2" eb="5">
      <t>キy</t>
    </rPh>
    <rPh sb="6" eb="8">
      <t>リョウリ</t>
    </rPh>
    <rPh sb="9" eb="10">
      <t>ナラ</t>
    </rPh>
    <rPh sb="12" eb="13">
      <t>イ</t>
    </rPh>
    <phoneticPr fontId="3"/>
  </si>
  <si>
    <t>父はパソコンが得意です。</t>
    <rPh sb="0" eb="1">
      <t>チチ</t>
    </rPh>
    <rPh sb="7" eb="9">
      <t>トクイ</t>
    </rPh>
    <phoneticPr fontId="3"/>
  </si>
  <si>
    <t>私はサークルでパソコンを教えています。</t>
    <rPh sb="0" eb="2">
      <t>ウァ</t>
    </rPh>
    <rPh sb="12" eb="13">
      <t>l;</t>
    </rPh>
    <phoneticPr fontId="3"/>
  </si>
  <si>
    <t>友達と一緒にいた映画は面白かったです。</t>
    <rPh sb="0" eb="2">
      <t>トモダチ</t>
    </rPh>
    <rPh sb="3" eb="5">
      <t>イッショ</t>
    </rPh>
    <rPh sb="8" eb="10">
      <t>エイガ</t>
    </rPh>
    <rPh sb="11" eb="13">
      <t>オモシロ</t>
    </rPh>
    <phoneticPr fontId="3"/>
  </si>
  <si>
    <t>1. 面白い
2. 楽しい
3. 悲しい
4. さみしい</t>
    <rPh sb="3" eb="5">
      <t>オモシロ</t>
    </rPh>
    <rPh sb="10" eb="11">
      <t>タノ</t>
    </rPh>
    <rPh sb="17" eb="18">
      <t>カナ</t>
    </rPh>
    <phoneticPr fontId="3"/>
  </si>
  <si>
    <t>息子は手話サークルに2時から4時まで通って頑張っています。</t>
    <rPh sb="0" eb="2">
      <t>ムスコ</t>
    </rPh>
    <rPh sb="3" eb="9">
      <t>シサ;</t>
    </rPh>
    <rPh sb="11" eb="12">
      <t>ジ</t>
    </rPh>
    <rPh sb="15" eb="16">
      <t>ジ</t>
    </rPh>
    <rPh sb="18" eb="19">
      <t>カヨ</t>
    </rPh>
    <rPh sb="21" eb="23">
      <t>ガンバ</t>
    </rPh>
    <phoneticPr fontId="3"/>
  </si>
  <si>
    <t>友達は図書館で勉強しています。</t>
    <rPh sb="0" eb="2">
      <t>トモダチ</t>
    </rPh>
    <rPh sb="3" eb="6">
      <t>トショカン</t>
    </rPh>
    <rPh sb="7" eb="9">
      <t>ベンキョウ</t>
    </rPh>
    <phoneticPr fontId="3"/>
  </si>
  <si>
    <t>東京に来週行きます。明日は大阪に行きます。</t>
    <rPh sb="0" eb="2">
      <t>tk</t>
    </rPh>
    <rPh sb="3" eb="6">
      <t>ライシュウイ</t>
    </rPh>
    <rPh sb="10" eb="12">
      <t>アシタ</t>
    </rPh>
    <rPh sb="13" eb="15">
      <t>オオサカ</t>
    </rPh>
    <rPh sb="16" eb="17">
      <t>イ</t>
    </rPh>
    <phoneticPr fontId="3"/>
  </si>
  <si>
    <t>彼女に感謝を伝えるために北海道旅行をプレゼントします。</t>
    <rPh sb="0" eb="2">
      <t>カノジョ</t>
    </rPh>
    <rPh sb="3" eb="5">
      <t>カンシャ</t>
    </rPh>
    <rPh sb="6" eb="7">
      <t>ツタ</t>
    </rPh>
    <rPh sb="12" eb="15">
      <t>ホッカイドウ</t>
    </rPh>
    <rPh sb="15" eb="17">
      <t>リョコウ</t>
    </rPh>
    <phoneticPr fontId="3"/>
  </si>
  <si>
    <t>奈良で暮らす母に介護が必要と姉から連絡があり、心配です。</t>
    <rPh sb="0" eb="2">
      <t>ナラ</t>
    </rPh>
    <rPh sb="3" eb="4">
      <t>ク</t>
    </rPh>
    <rPh sb="6" eb="7">
      <t>ハハ</t>
    </rPh>
    <rPh sb="8" eb="10">
      <t>カイゴ</t>
    </rPh>
    <rPh sb="11" eb="13">
      <t>ヒツヨウ</t>
    </rPh>
    <rPh sb="14" eb="15">
      <t>アネ</t>
    </rPh>
    <rPh sb="17" eb="19">
      <t>レンラク</t>
    </rPh>
    <rPh sb="23" eb="25">
      <t>シンパイ</t>
    </rPh>
    <phoneticPr fontId="3"/>
  </si>
  <si>
    <t>今日は息子の運動会を見に行きました。手話で踊っていた驚きました。</t>
    <rPh sb="0" eb="2">
      <t>ky</t>
    </rPh>
    <rPh sb="3" eb="5">
      <t>ムスコ</t>
    </rPh>
    <rPh sb="6" eb="9">
      <t>ウンドウカイ</t>
    </rPh>
    <rPh sb="10" eb="11">
      <t>ミ</t>
    </rPh>
    <rPh sb="12" eb="13">
      <t>イ</t>
    </rPh>
    <rPh sb="18" eb="20">
      <t>シ;</t>
    </rPh>
    <rPh sb="21" eb="22">
      <t>オド</t>
    </rPh>
    <rPh sb="26" eb="27">
      <t>オドロ</t>
    </rPh>
    <phoneticPr fontId="3"/>
  </si>
  <si>
    <t>この辺りはタバコを吸っている学生が多いので、先生が厳しく巡回しています。</t>
    <rPh sb="2" eb="3">
      <t>アタ</t>
    </rPh>
    <rPh sb="9" eb="10">
      <t>ス</t>
    </rPh>
    <rPh sb="14" eb="16">
      <t>ガクセイ</t>
    </rPh>
    <rPh sb="17" eb="18">
      <t>オオ</t>
    </rPh>
    <rPh sb="22" eb="24">
      <t>センセイ</t>
    </rPh>
    <rPh sb="25" eb="26">
      <t>キビ</t>
    </rPh>
    <rPh sb="28" eb="30">
      <t>ジュンカイ</t>
    </rPh>
    <phoneticPr fontId="3"/>
  </si>
  <si>
    <t>今年の夏は電力不足が心配です。汗が少しくらいであれば扇風機で構いません。我慢します。</t>
    <rPh sb="0" eb="2">
      <t>コトシ</t>
    </rPh>
    <rPh sb="3" eb="4">
      <t>ナツ</t>
    </rPh>
    <rPh sb="5" eb="9">
      <t>デンリョクブソク</t>
    </rPh>
    <rPh sb="10" eb="12">
      <t>シンパイ</t>
    </rPh>
    <rPh sb="15" eb="16">
      <t>アセ</t>
    </rPh>
    <rPh sb="17" eb="18">
      <t>スコ</t>
    </rPh>
    <rPh sb="26" eb="29">
      <t>センプウキ</t>
    </rPh>
    <rPh sb="30" eb="31">
      <t>カマ</t>
    </rPh>
    <rPh sb="36" eb="38">
      <t>ガマン</t>
    </rPh>
    <phoneticPr fontId="3"/>
  </si>
  <si>
    <t>私は2年前に堺に引っ越して釣りを始めました。ウナギは釣れます。でも、鯛は釣れませんね。</t>
    <rPh sb="0" eb="2">
      <t>ウァ</t>
    </rPh>
    <rPh sb="3" eb="5">
      <t>ネンマエ</t>
    </rPh>
    <rPh sb="6" eb="7">
      <t>サカイ</t>
    </rPh>
    <rPh sb="8" eb="9">
      <t>ヒ</t>
    </rPh>
    <rPh sb="10" eb="11">
      <t>コ</t>
    </rPh>
    <rPh sb="13" eb="14">
      <t>ツ</t>
    </rPh>
    <rPh sb="16" eb="17">
      <t>ハジ</t>
    </rPh>
    <rPh sb="26" eb="27">
      <t>ツ</t>
    </rPh>
    <rPh sb="34" eb="35">
      <t>タイ</t>
    </rPh>
    <rPh sb="36" eb="37">
      <t>ツ</t>
    </rPh>
    <phoneticPr fontId="3"/>
  </si>
  <si>
    <t>私は保育士の仕事をして2年目になります。ベテランの主任保育士と一緒に3歳児の担当をしています。園児が泣き止まずお手上げの時、彼女に助けてもらうこともあります。仕事でストレスがたまることもありますが、園児が誰にでも優しい子に成長してほしいと願っています。</t>
    <rPh sb="0" eb="2">
      <t>ウァ</t>
    </rPh>
    <rPh sb="2" eb="5">
      <t>ホイクシ</t>
    </rPh>
    <rPh sb="6" eb="8">
      <t>シゴト</t>
    </rPh>
    <rPh sb="12" eb="14">
      <t>ネンメ</t>
    </rPh>
    <rPh sb="25" eb="27">
      <t>シュニン</t>
    </rPh>
    <rPh sb="27" eb="30">
      <t>ホイクシ</t>
    </rPh>
    <rPh sb="31" eb="33">
      <t>イッショ</t>
    </rPh>
    <rPh sb="35" eb="37">
      <t>サイジ</t>
    </rPh>
    <rPh sb="38" eb="40">
      <t>タントウ</t>
    </rPh>
    <rPh sb="47" eb="49">
      <t>エンジ</t>
    </rPh>
    <rPh sb="62" eb="64">
      <t>カノジョ</t>
    </rPh>
    <rPh sb="65" eb="66">
      <t>タス</t>
    </rPh>
    <rPh sb="79" eb="81">
      <t>シゴト</t>
    </rPh>
    <rPh sb="99" eb="101">
      <t>エンジ</t>
    </rPh>
    <rPh sb="102" eb="103">
      <t>ダレ</t>
    </rPh>
    <rPh sb="106" eb="107">
      <t>ヤサ</t>
    </rPh>
    <rPh sb="109" eb="110">
      <t>コ</t>
    </rPh>
    <rPh sb="111" eb="113">
      <t>セイチョウ</t>
    </rPh>
    <rPh sb="119" eb="120">
      <t>ネガ</t>
    </rPh>
    <phoneticPr fontId="3"/>
  </si>
  <si>
    <t>私が通う手話サークルは会員31人です。会員の年齢層は16歳から65歳と幅広く、毎週火曜日にスポーツ会館で活動しています。今年は思い切って役員を希望して会計を担当しています。会長を支え、組織を強くするために学習方法の見直しなどを努力したいです。</t>
    <rPh sb="0" eb="1">
      <t>w</t>
    </rPh>
    <rPh sb="2" eb="3">
      <t>カヨ</t>
    </rPh>
    <rPh sb="4" eb="10">
      <t>シサ;</t>
    </rPh>
    <rPh sb="11" eb="13">
      <t>カイイン</t>
    </rPh>
    <rPh sb="15" eb="16">
      <t>r</t>
    </rPh>
    <rPh sb="19" eb="21">
      <t>カイイン</t>
    </rPh>
    <rPh sb="22" eb="25">
      <t>ネンレイソウ</t>
    </rPh>
    <rPh sb="28" eb="29">
      <t>サイ</t>
    </rPh>
    <rPh sb="33" eb="34">
      <t>サイ</t>
    </rPh>
    <rPh sb="35" eb="37">
      <t>ハバヒロ</t>
    </rPh>
    <rPh sb="39" eb="44">
      <t>マイシュウカy</t>
    </rPh>
    <rPh sb="49" eb="51">
      <t>カイカン</t>
    </rPh>
    <rPh sb="52" eb="54">
      <t>カツドウ</t>
    </rPh>
    <rPh sb="60" eb="62">
      <t>コトシ</t>
    </rPh>
    <rPh sb="63" eb="64">
      <t>オモ</t>
    </rPh>
    <rPh sb="65" eb="66">
      <t>キ</t>
    </rPh>
    <rPh sb="68" eb="70">
      <t>ヤクイン</t>
    </rPh>
    <rPh sb="71" eb="73">
      <t>キボウ</t>
    </rPh>
    <rPh sb="75" eb="77">
      <t>カイケイ</t>
    </rPh>
    <rPh sb="78" eb="80">
      <t>タントウ</t>
    </rPh>
    <rPh sb="86" eb="88">
      <t>カイチョウ</t>
    </rPh>
    <rPh sb="89" eb="90">
      <t>ササ</t>
    </rPh>
    <rPh sb="92" eb="94">
      <t>ソシキ</t>
    </rPh>
    <rPh sb="95" eb="96">
      <t>ツヨ</t>
    </rPh>
    <rPh sb="102" eb="106">
      <t>ガクシュウホウホウ</t>
    </rPh>
    <rPh sb="107" eb="109">
      <t>ミナオ</t>
    </rPh>
    <rPh sb="113" eb="115">
      <t>ドリョク</t>
    </rPh>
    <phoneticPr fontId="3"/>
  </si>
  <si>
    <t>私は総務課で働いていて、ダイエットブームがきていると聞きました。私はこれはいいなと思い、ダイエットを始めました。しかし、短期間のダイエットで空腹になり、仕事中に倒れてしまいました。そんな私にも理解のある彼君がいます。</t>
    <rPh sb="0" eb="2">
      <t>ウァ</t>
    </rPh>
    <rPh sb="2" eb="5">
      <t>ソウムカ</t>
    </rPh>
    <rPh sb="6" eb="7">
      <t>ハタラ</t>
    </rPh>
    <rPh sb="26" eb="27">
      <t>キ</t>
    </rPh>
    <rPh sb="32" eb="34">
      <t>ウァ</t>
    </rPh>
    <rPh sb="41" eb="42">
      <t>オモ</t>
    </rPh>
    <rPh sb="50" eb="51">
      <t>ハジ</t>
    </rPh>
    <rPh sb="60" eb="63">
      <t>タンキカン</t>
    </rPh>
    <rPh sb="70" eb="72">
      <t>クウフク</t>
    </rPh>
    <rPh sb="76" eb="79">
      <t>シゴトチュウ</t>
    </rPh>
    <rPh sb="80" eb="81">
      <t>タオ</t>
    </rPh>
    <rPh sb="93" eb="94">
      <t>w</t>
    </rPh>
    <rPh sb="96" eb="98">
      <t>リカイ</t>
    </rPh>
    <rPh sb="101" eb="103">
      <t>カレクン</t>
    </rPh>
    <phoneticPr fontId="3"/>
  </si>
  <si>
    <t>私は旅が大好きです。私の旅の方法は図書館に行って本を読んで旅をイメージします。例えば、江戸時代のお店に行って団子を食べたり、イタリアに行って教会でお祈りしました。宇宙にもいけます。パスポートもいらないんですよね。こんな旅もいいですよね。明日は、フィンランドへ旅したいと思っています。</t>
    <rPh sb="0" eb="2">
      <t>ウァ</t>
    </rPh>
    <rPh sb="2" eb="3">
      <t>タビ</t>
    </rPh>
    <rPh sb="4" eb="7">
      <t>ff</t>
    </rPh>
    <rPh sb="10" eb="16">
      <t>wノタビノホウホウ</t>
    </rPh>
    <rPh sb="17" eb="20">
      <t>トショカン</t>
    </rPh>
    <rPh sb="21" eb="22">
      <t>イ</t>
    </rPh>
    <rPh sb="24" eb="39">
      <t>ホンヲヨンデタビヲイメ;シm;</t>
    </rPh>
    <rPh sb="39" eb="40">
      <t>タト</t>
    </rPh>
    <rPh sb="43" eb="47">
      <t>エドジダイ</t>
    </rPh>
    <rPh sb="49" eb="50">
      <t>ミセ</t>
    </rPh>
    <rPh sb="51" eb="52">
      <t>イ</t>
    </rPh>
    <rPh sb="54" eb="56">
      <t>ダンゴ</t>
    </rPh>
    <rPh sb="57" eb="58">
      <t>タ</t>
    </rPh>
    <rPh sb="67" eb="68">
      <t>イ</t>
    </rPh>
    <rPh sb="70" eb="72">
      <t>キョウカイ</t>
    </rPh>
    <rPh sb="74" eb="75">
      <t>イノ</t>
    </rPh>
    <rPh sb="81" eb="83">
      <t>ウチュウ</t>
    </rPh>
    <rPh sb="109" eb="110">
      <t>タビ</t>
    </rPh>
    <rPh sb="118" eb="120">
      <t>アシタ</t>
    </rPh>
    <rPh sb="129" eb="130">
      <t>タビ</t>
    </rPh>
    <rPh sb="134" eb="135">
      <t>オモ</t>
    </rPh>
    <phoneticPr fontId="3"/>
  </si>
  <si>
    <t>国会をテレビで見て、総理大臣をはじめ、各大臣が答弁するのを見て、すごいな、と感心していたら実際は違いました。答弁は官僚が作っていてそれを読んでいる、と聞いてがっかりしました。国民の税金で給与を得ている国会議員には真剣に景気回復、子ども政策の充実について考えて議論してほしいし、私は1日も早い手話言語法の実現を祈っています。</t>
    <rPh sb="0" eb="2">
      <t>コッカイ</t>
    </rPh>
    <rPh sb="45" eb="47">
      <t>js</t>
    </rPh>
    <rPh sb="48" eb="49">
      <t>チガ</t>
    </rPh>
    <rPh sb="54" eb="56">
      <t>トウベン</t>
    </rPh>
    <rPh sb="57" eb="59">
      <t>カンリョウ</t>
    </rPh>
    <rPh sb="93" eb="95">
      <t>キュウヨ</t>
    </rPh>
    <rPh sb="141" eb="142">
      <t>h</t>
    </rPh>
    <phoneticPr fontId="3"/>
  </si>
  <si>
    <t>最近は健康や病気を話題にすることが増えました。介護保険などの社会保障の実態、課題についても注目しています。ところで身体が衰えてどんどんとできなくなることが増えていくと思うと不安ですね。しかし、できることがまだまだあると考える心構えが大切だと教わりました。毎日を楽しく生きることを生きがいにして過ごしたいと思います。</t>
    <rPh sb="0" eb="2">
      <t>サイキン</t>
    </rPh>
    <rPh sb="3" eb="5">
      <t>ケンコウ</t>
    </rPh>
    <rPh sb="6" eb="8">
      <t>ビョウキ</t>
    </rPh>
    <rPh sb="9" eb="11">
      <t>ワダイ</t>
    </rPh>
    <rPh sb="17" eb="18">
      <t>フ</t>
    </rPh>
    <rPh sb="23" eb="29">
      <t>カイゴホケンンd</t>
    </rPh>
    <rPh sb="30" eb="34">
      <t>シャカイホショウ</t>
    </rPh>
    <rPh sb="35" eb="37">
      <t>ジッタイ</t>
    </rPh>
    <rPh sb="38" eb="40">
      <t>カダイ</t>
    </rPh>
    <rPh sb="45" eb="47">
      <t>チュウモク</t>
    </rPh>
    <rPh sb="57" eb="59">
      <t>カラダ</t>
    </rPh>
    <rPh sb="60" eb="61">
      <t>オトロ</t>
    </rPh>
    <rPh sb="77" eb="78">
      <t>フ</t>
    </rPh>
    <rPh sb="83" eb="84">
      <t>オモ</t>
    </rPh>
    <rPh sb="86" eb="88">
      <t>フアン</t>
    </rPh>
    <rPh sb="109" eb="110">
      <t>カンガ</t>
    </rPh>
    <rPh sb="112" eb="114">
      <t>ココロガマ</t>
    </rPh>
    <rPh sb="116" eb="118">
      <t>タイセツ</t>
    </rPh>
    <rPh sb="120" eb="121">
      <t>オソ</t>
    </rPh>
    <rPh sb="127" eb="129">
      <t>マイh</t>
    </rPh>
    <rPh sb="130" eb="157">
      <t>タノシクイキルコトヲイキガイニシテスゴシタイトオモイm;</t>
    </rPh>
    <phoneticPr fontId="3"/>
  </si>
  <si>
    <t>2025年11月にデフリンピック第25回夏季大会が東京にて開催されることになりました。1924年にフランスのパリで第1回世界ろう者競技大会が行われてから100年経過して開催される記念の大会となります。デフリンピックという名称は2001年から国際オリンピック委員会の承認を得て使われ始めました。オリンピック、パラリンピックと同じように4年ごとに開催されます。まだまだデフリンピックを知っている人は少ないので、大会をきっかけにろう者や手話の理解が普及し、定着するといいですね。</t>
    <rPh sb="4" eb="5">
      <t>ネン</t>
    </rPh>
    <rPh sb="7" eb="8">
      <t>ガツ</t>
    </rPh>
    <rPh sb="16" eb="17">
      <t>ダイ</t>
    </rPh>
    <rPh sb="19" eb="20">
      <t>k</t>
    </rPh>
    <rPh sb="20" eb="24">
      <t>カキタイカイ</t>
    </rPh>
    <rPh sb="25" eb="27">
      <t>tk</t>
    </rPh>
    <rPh sb="29" eb="31">
      <t>カイサイ</t>
    </rPh>
    <rPh sb="47" eb="48">
      <t>ネン</t>
    </rPh>
    <rPh sb="57" eb="58">
      <t>ダイ</t>
    </rPh>
    <rPh sb="59" eb="60">
      <t>k</t>
    </rPh>
    <rPh sb="60" eb="62">
      <t>セカイ</t>
    </rPh>
    <rPh sb="64" eb="69">
      <t>シャキョウギタイカイ</t>
    </rPh>
    <rPh sb="70" eb="71">
      <t>g;</t>
    </rPh>
    <rPh sb="79" eb="82">
      <t>ネンケイカ</t>
    </rPh>
    <rPh sb="110" eb="112">
      <t>メイショウ</t>
    </rPh>
    <rPh sb="117" eb="118">
      <t>ネン</t>
    </rPh>
    <rPh sb="120" eb="122">
      <t>コクサイ</t>
    </rPh>
    <rPh sb="128" eb="131">
      <t>イインカイ</t>
    </rPh>
    <rPh sb="132" eb="134">
      <t>ショウニン</t>
    </rPh>
    <rPh sb="135" eb="136">
      <t>エ</t>
    </rPh>
    <rPh sb="137" eb="138">
      <t>ツカ</t>
    </rPh>
    <rPh sb="140" eb="141">
      <t>ハジ</t>
    </rPh>
    <rPh sb="161" eb="162">
      <t>オナ</t>
    </rPh>
    <rPh sb="167" eb="168">
      <t>ネン</t>
    </rPh>
    <rPh sb="171" eb="173">
      <t>カイサイ</t>
    </rPh>
    <rPh sb="190" eb="191">
      <t>シ</t>
    </rPh>
    <rPh sb="195" eb="196">
      <t>r</t>
    </rPh>
    <rPh sb="197" eb="198">
      <t>スク</t>
    </rPh>
    <rPh sb="203" eb="205">
      <t>タイカイ</t>
    </rPh>
    <rPh sb="213" eb="214">
      <t>シャ</t>
    </rPh>
    <rPh sb="215" eb="217">
      <t>シ;</t>
    </rPh>
    <rPh sb="218" eb="220">
      <t>リカイ</t>
    </rPh>
    <rPh sb="221" eb="223">
      <t>フキュウ</t>
    </rPh>
    <rPh sb="225" eb="227">
      <t>テイチャク</t>
    </rPh>
    <phoneticPr fontId="3"/>
  </si>
  <si>
    <t>1. 第15回
2. 第25回
3. 第50回
4. 第100回</t>
    <rPh sb="3" eb="4">
      <t>ダイ</t>
    </rPh>
    <rPh sb="6" eb="7">
      <t>k</t>
    </rPh>
    <rPh sb="11" eb="12">
      <t>ダイ</t>
    </rPh>
    <rPh sb="14" eb="15">
      <t>k</t>
    </rPh>
    <rPh sb="19" eb="20">
      <t>ダイ</t>
    </rPh>
    <rPh sb="22" eb="23">
      <t>k</t>
    </rPh>
    <rPh sb="27" eb="28">
      <t>ダイ</t>
    </rPh>
    <rPh sb="31" eb="32">
      <t>k</t>
    </rPh>
    <phoneticPr fontId="3"/>
  </si>
  <si>
    <t>国に手話言語法の制定を求める運動の中で手話言語条例を施行する自治体が増えています。ろう者と手話についての理解を広めるためのパンフレットが配布され、動画も作られています。以前仕事で言った場所でホテルが分からず、案内板を見ていたら突然話しかけられたことがあります。聞こえません、と身振りで答えたらびっくりしたことに手話で、あ、すみません。何かお困りですか？と話されました。えっ、手話分かるの？ホテルが分からないんです。あ、分かりますよ、ご案内しますね。といった具合でした。このように自然に手話で会話できる人が増えてほしいですね。</t>
    <rPh sb="0" eb="1">
      <t>クニ</t>
    </rPh>
    <rPh sb="2" eb="4">
      <t>シ;</t>
    </rPh>
    <rPh sb="4" eb="6">
      <t>ゲンゴ</t>
    </rPh>
    <rPh sb="6" eb="7">
      <t>ホウ</t>
    </rPh>
    <rPh sb="8" eb="10">
      <t>セイテイ</t>
    </rPh>
    <rPh sb="11" eb="12">
      <t>モト</t>
    </rPh>
    <rPh sb="14" eb="16">
      <t>ウンドウ</t>
    </rPh>
    <rPh sb="17" eb="18">
      <t>ナカ</t>
    </rPh>
    <rPh sb="19" eb="25">
      <t>シ;ゲンゴジョウレイ</t>
    </rPh>
    <rPh sb="26" eb="28">
      <t>シコウ</t>
    </rPh>
    <rPh sb="30" eb="33">
      <t>ジチタイ</t>
    </rPh>
    <rPh sb="34" eb="35">
      <t>フ</t>
    </rPh>
    <rPh sb="43" eb="44">
      <t>シャ</t>
    </rPh>
    <rPh sb="45" eb="47">
      <t>シ;</t>
    </rPh>
    <rPh sb="52" eb="54">
      <t>リカイ</t>
    </rPh>
    <rPh sb="55" eb="56">
      <t>ヒロ</t>
    </rPh>
    <rPh sb="68" eb="70">
      <t>ハイフ</t>
    </rPh>
    <rPh sb="73" eb="75">
      <t>ドウガ</t>
    </rPh>
    <rPh sb="76" eb="77">
      <t>ツク</t>
    </rPh>
    <rPh sb="84" eb="88">
      <t>イゼンシゴト</t>
    </rPh>
    <rPh sb="89" eb="90">
      <t>イ</t>
    </rPh>
    <rPh sb="92" eb="94">
      <t>バショ</t>
    </rPh>
    <rPh sb="99" eb="100">
      <t>ワ</t>
    </rPh>
    <rPh sb="104" eb="107">
      <t>アンナイバン</t>
    </rPh>
    <rPh sb="108" eb="109">
      <t>ミ</t>
    </rPh>
    <rPh sb="113" eb="116">
      <t>トツゼンハナ</t>
    </rPh>
    <rPh sb="130" eb="131">
      <t>キ</t>
    </rPh>
    <rPh sb="138" eb="140">
      <t>ミブ</t>
    </rPh>
    <rPh sb="142" eb="143">
      <t>コタ</t>
    </rPh>
    <rPh sb="155" eb="157">
      <t>シ;</t>
    </rPh>
    <rPh sb="167" eb="168">
      <t>ナニ</t>
    </rPh>
    <rPh sb="170" eb="171">
      <t>コマ</t>
    </rPh>
    <rPh sb="177" eb="178">
      <t>ハナ</t>
    </rPh>
    <rPh sb="187" eb="190">
      <t>シ;ワ</t>
    </rPh>
    <rPh sb="198" eb="203">
      <t>ワs</t>
    </rPh>
    <rPh sb="209" eb="210">
      <t>ワ</t>
    </rPh>
    <rPh sb="217" eb="219">
      <t>アンナイ</t>
    </rPh>
    <rPh sb="228" eb="230">
      <t>グアイ</t>
    </rPh>
    <rPh sb="239" eb="241">
      <t>シゼン</t>
    </rPh>
    <rPh sb="242" eb="262">
      <t>シ;デカイワデキルrガフエテホシイdン</t>
    </rPh>
    <phoneticPr fontId="3"/>
  </si>
  <si>
    <t>行政との協議で聞こえる人と同じ情報が保証されるようにしてほしいと意見を出しました。すると「聴覚障害者が求める情報がどんなものになるのかわからなくて」と言われました。聴覚障害者だからこのような情報が必要ということではなく、聞こえる人が得ている情報と同じ情報を聞こえなくても伝わるようにしてほしいということがなかなか伝わらなかったです。人として平等…ではなく聴者障害者という見方にこだわっていると感じました。</t>
    <rPh sb="0" eb="20">
      <t>ギョウセイトノキョウギデキコエルrトオナジジョ;ガホショウ</t>
    </rPh>
    <rPh sb="32" eb="34">
      <t>イケン</t>
    </rPh>
    <rPh sb="35" eb="36">
      <t>ダ</t>
    </rPh>
    <rPh sb="44" eb="56">
      <t>@チョウカクショ;シャガモトメルジョ;</t>
    </rPh>
    <rPh sb="75" eb="76">
      <t>イ</t>
    </rPh>
    <rPh sb="82" eb="87">
      <t>チョウカクショ;シャ</t>
    </rPh>
    <rPh sb="95" eb="97">
      <t>ジョ;</t>
    </rPh>
    <rPh sb="114" eb="115">
      <t>r</t>
    </rPh>
    <rPh sb="116" eb="117">
      <t>エ</t>
    </rPh>
    <rPh sb="120" eb="122">
      <t>ジョ;</t>
    </rPh>
    <rPh sb="123" eb="124">
      <t>オナ</t>
    </rPh>
    <rPh sb="125" eb="127">
      <t>ジョ;</t>
    </rPh>
    <rPh sb="128" eb="129">
      <t>キ</t>
    </rPh>
    <rPh sb="135" eb="136">
      <t>ツタ</t>
    </rPh>
    <rPh sb="156" eb="157">
      <t>ツタ</t>
    </rPh>
    <rPh sb="166" eb="170">
      <t>rts</t>
    </rPh>
    <rPh sb="170" eb="182">
      <t>ビョウドウtデハナクチョ;ショ;シャ</t>
    </rPh>
    <rPh sb="185" eb="187">
      <t>ミカタ</t>
    </rPh>
    <rPh sb="196" eb="197">
      <t>カン</t>
    </rPh>
    <phoneticPr fontId="3"/>
  </si>
  <si>
    <t>qiM8_y890Ws</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</si>
</sst>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Yu Gothic"/>
      <family val="2"/>
      <scheme val="minor"/>
    </font>
    <font>
      <sz val="11"/>
      <color theme="1"/>
      <name val="meiryo ui"/>
      <family val="2"/>
      <charset val="128"/>
    </font>
    <font>
      <u/>
      <sz val="11"/>
      <color theme="10"/>
      <name val="Yu Gothic"/>
      <family val="2"/>
      <scheme val="minor"/>
    </font>
    <font>
      <sz val="6"/>
      <name val="Yu Gothic"/>
      <family val="3"/>
      <charset val="128"/>
      <scheme val="minor"/>
    </font>
    <font>
      <sz val="18"/>
      <color theme="3"/>
      <name val="Yu Gothic Light"/>
      <family val="2"/>
      <charset val="128"/>
      <scheme val="major"/>
    </font>
    <font>
      <sz val="11"/>
      <color theme="1"/>
      <name val="Meiryo UI"/>
      <family val="3"/>
      <charset val="128"/>
    </font>
    <font>
      <u/>
      <sz val="11"/>
      <color theme="10"/>
      <name val="Meiryo UI"/>
      <family val="3"/>
      <charset val="128"/>
    </font>
    <font>
      <sz val="6"/>
      <name val="meiryo ui"/>
      <family val="2"/>
      <charset val="128"/>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1" fillId="0" borderId="0">
      <alignment vertical="center"/>
    </xf>
  </cellStyleXfs>
  <cellXfs count="10">
    <xf numFmtId="0" fontId="0" fillId="0" borderId="0" xfId="0"/>
    <xf numFmtId="0" fontId="0" fillId="0" borderId="1" xfId="0" applyBorder="1"/>
    <xf numFmtId="0" fontId="5" fillId="0" borderId="0" xfId="0" applyFont="1"/>
    <xf numFmtId="0" fontId="5" fillId="0" borderId="0" xfId="0" applyFont="1" applyAlignment="1">
      <alignment wrapText="1"/>
    </xf>
    <xf numFmtId="0" fontId="5" fillId="0" borderId="1" xfId="0" applyFont="1" applyBorder="1"/>
    <xf numFmtId="0" fontId="1" fillId="0" borderId="0" xfId="2">
      <alignment vertical="center"/>
    </xf>
    <xf numFmtId="0" fontId="1" fillId="0" borderId="0" xfId="2" applyAlignment="1">
      <alignment vertical="center" wrapText="1"/>
    </xf>
    <xf numFmtId="0" fontId="5" fillId="0" borderId="1" xfId="0" applyFont="1" applyBorder="1" applyAlignment="1">
      <alignment vertical="top"/>
    </xf>
    <xf numFmtId="0" fontId="6" fillId="0" borderId="1" xfId="1" applyFont="1" applyBorder="1" applyAlignment="1">
      <alignment vertical="top"/>
    </xf>
    <xf numFmtId="0" fontId="5" fillId="0" borderId="1" xfId="0" applyFont="1" applyBorder="1" applyAlignment="1">
      <alignment vertical="top" wrapText="1"/>
    </xf>
  </cellXfs>
  <cellStyles count="3">
    <cellStyle name="ハイパーリンク" xfId="1" builtinId="8"/>
    <cellStyle name="標準" xfId="0" builtinId="0"/>
    <cellStyle name="標準 2" xfId="2" xr:uid="{3D615A97-C40C-4B55-8C47-5BA507E13F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meblo.jp/motohiko-in-kumano-2013/entry-12823178426.html?frm=theme" TargetMode="External"/><Relationship Id="rId3" Type="http://schemas.openxmlformats.org/officeDocument/2006/relationships/hyperlink" Target="https://ameblo.jp/motohiko-in-kumano-2013/entry-12824169617.html?frm=theme" TargetMode="External"/><Relationship Id="rId7" Type="http://schemas.openxmlformats.org/officeDocument/2006/relationships/hyperlink" Target="https://ameblo.jp/motohiko-in-kumano-2013/entry-12823178426.html?frm=theme" TargetMode="External"/><Relationship Id="rId2" Type="http://schemas.openxmlformats.org/officeDocument/2006/relationships/hyperlink" Target="https://ameblo.jp/motohiko-in-kumano-2013/entry-12823050275.html" TargetMode="External"/><Relationship Id="rId1" Type="http://schemas.openxmlformats.org/officeDocument/2006/relationships/hyperlink" Target="https://ameblo.jp/motohiko-in-kumano-2013/entry-12823050275.html" TargetMode="External"/><Relationship Id="rId6" Type="http://schemas.openxmlformats.org/officeDocument/2006/relationships/hyperlink" Target="https://ameblo.jp/motohiko-in-kumano-2013/entry-12823828682.html?frm=theme" TargetMode="External"/><Relationship Id="rId11" Type="http://schemas.openxmlformats.org/officeDocument/2006/relationships/printerSettings" Target="../printerSettings/printerSettings1.bin"/><Relationship Id="rId5" Type="http://schemas.openxmlformats.org/officeDocument/2006/relationships/hyperlink" Target="https://ameblo.jp/motohiko-in-kumano-2013/entry-12823828682.html?frm=theme" TargetMode="External"/><Relationship Id="rId10" Type="http://schemas.openxmlformats.org/officeDocument/2006/relationships/hyperlink" Target="https://ameblo.jp/motohiko-in-kumano-2013/entry-12823059933.html?frm=theme" TargetMode="External"/><Relationship Id="rId4" Type="http://schemas.openxmlformats.org/officeDocument/2006/relationships/hyperlink" Target="https://ameblo.jp/motohiko-in-kumano-2013/entry-12824169617.html?frm=theme" TargetMode="External"/><Relationship Id="rId9" Type="http://schemas.openxmlformats.org/officeDocument/2006/relationships/hyperlink" Target="https://ameblo.jp/motohiko-in-kumano-2013/entry-12823059933.html?frm=them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B432B-FD1A-465A-996A-D68068EA881F}">
  <sheetPr filterMode="1"/>
  <dimension ref="A1:J144"/>
  <sheetViews>
    <sheetView showGridLines="0" tabSelected="1" topLeftCell="B1" zoomScale="85" zoomScaleNormal="85" workbookViewId="0">
      <pane ySplit="1" topLeftCell="A2" activePane="bottomLeft" state="frozen"/>
      <selection pane="bottomLeft" activeCell="G7" sqref="G7"/>
    </sheetView>
  </sheetViews>
  <sheetFormatPr defaultRowHeight="15.75"/>
  <cols>
    <col min="1" max="1" width="5.25" style="2" bestFit="1" customWidth="1"/>
    <col min="2" max="2" width="9.875" style="2" bestFit="1" customWidth="1"/>
    <col min="3" max="3" width="8.5" style="2" bestFit="1" customWidth="1"/>
    <col min="4" max="4" width="9.25" style="2" bestFit="1" customWidth="1"/>
    <col min="5" max="5" width="20.125" style="2" bestFit="1" customWidth="1"/>
    <col min="6" max="6" width="39.5" style="2" customWidth="1"/>
    <col min="7" max="7" width="40.75" style="2" customWidth="1"/>
    <col min="8" max="8" width="10.375" style="2" bestFit="1" customWidth="1"/>
    <col min="9" max="9" width="39.875" style="2" customWidth="1"/>
    <col min="10" max="10" width="57.625" style="2" bestFit="1" customWidth="1"/>
    <col min="11" max="16384" width="9" style="2"/>
  </cols>
  <sheetData>
    <row r="1" spans="1:10">
      <c r="A1" s="7" t="s">
        <v>0</v>
      </c>
      <c r="B1" s="7" t="s">
        <v>162</v>
      </c>
      <c r="C1" s="7" t="s">
        <v>1</v>
      </c>
      <c r="D1" s="7" t="s">
        <v>163</v>
      </c>
      <c r="E1" s="7" t="s">
        <v>352</v>
      </c>
      <c r="F1" s="7" t="s">
        <v>2</v>
      </c>
      <c r="G1" s="7" t="s">
        <v>304</v>
      </c>
      <c r="H1" s="7" t="s">
        <v>292</v>
      </c>
      <c r="I1" s="7" t="s">
        <v>3</v>
      </c>
      <c r="J1" s="4" t="s">
        <v>405</v>
      </c>
    </row>
    <row r="2" spans="1:10" customFormat="1" ht="18.75">
      <c r="A2" s="7">
        <f t="shared" ref="A2:A40" si="0">ROW()-1</f>
        <v>1</v>
      </c>
      <c r="B2" s="7" t="s">
        <v>164</v>
      </c>
      <c r="C2" s="7">
        <v>5</v>
      </c>
      <c r="D2" s="7" t="s">
        <v>285</v>
      </c>
      <c r="E2" s="7" t="str">
        <f>IF(D2="ストーリー", INT((COUNTIF($D$2:D2, "ストーリー")-1)/3) + 1, "NA")</f>
        <v>NA</v>
      </c>
      <c r="F2" s="7" t="s">
        <v>77</v>
      </c>
      <c r="G2" s="7"/>
      <c r="H2" s="7"/>
      <c r="I2" s="7" t="s">
        <v>78</v>
      </c>
      <c r="J2" s="1"/>
    </row>
    <row r="3" spans="1:10" customFormat="1" ht="18.75">
      <c r="A3" s="7">
        <f t="shared" si="0"/>
        <v>2</v>
      </c>
      <c r="B3" s="7" t="s">
        <v>164</v>
      </c>
      <c r="C3" s="7">
        <v>5</v>
      </c>
      <c r="D3" s="7" t="s">
        <v>285</v>
      </c>
      <c r="E3" s="7" t="str">
        <f>IF(D3="ストーリー", INT((COUNTIF($D$2:D3, "ストーリー")-1)/3) + 1, "NA")</f>
        <v>NA</v>
      </c>
      <c r="F3" s="7" t="s">
        <v>79</v>
      </c>
      <c r="G3" s="7"/>
      <c r="H3" s="7"/>
      <c r="I3" s="7" t="s">
        <v>78</v>
      </c>
      <c r="J3" s="1"/>
    </row>
    <row r="4" spans="1:10" customFormat="1" ht="18.75">
      <c r="A4" s="7">
        <f t="shared" si="0"/>
        <v>3</v>
      </c>
      <c r="B4" s="7" t="s">
        <v>164</v>
      </c>
      <c r="C4" s="7">
        <v>5</v>
      </c>
      <c r="D4" s="7" t="s">
        <v>285</v>
      </c>
      <c r="E4" s="7" t="str">
        <f>IF(D4="ストーリー", INT((COUNTIF($D$2:D4, "ストーリー")-1)/3) + 1, "NA")</f>
        <v>NA</v>
      </c>
      <c r="F4" s="7" t="s">
        <v>80</v>
      </c>
      <c r="G4" s="7"/>
      <c r="H4" s="7"/>
      <c r="I4" s="7" t="s">
        <v>78</v>
      </c>
      <c r="J4" s="1"/>
    </row>
    <row r="5" spans="1:10" customFormat="1" ht="18.75">
      <c r="A5" s="7">
        <f t="shared" si="0"/>
        <v>4</v>
      </c>
      <c r="B5" s="7" t="s">
        <v>164</v>
      </c>
      <c r="C5" s="7">
        <v>5</v>
      </c>
      <c r="D5" s="7" t="s">
        <v>285</v>
      </c>
      <c r="E5" s="7" t="str">
        <f>IF(D5="ストーリー", INT((COUNTIF($D$2:D5, "ストーリー")-1)/3) + 1, "NA")</f>
        <v>NA</v>
      </c>
      <c r="F5" s="7" t="s">
        <v>81</v>
      </c>
      <c r="G5" s="7"/>
      <c r="H5" s="7"/>
      <c r="I5" s="7" t="s">
        <v>78</v>
      </c>
      <c r="J5" s="1"/>
    </row>
    <row r="6" spans="1:10" customFormat="1" ht="18.75">
      <c r="A6" s="7">
        <f t="shared" si="0"/>
        <v>5</v>
      </c>
      <c r="B6" s="7" t="s">
        <v>164</v>
      </c>
      <c r="C6" s="7">
        <v>5</v>
      </c>
      <c r="D6" s="7" t="s">
        <v>285</v>
      </c>
      <c r="E6" s="7" t="str">
        <f>IF(D6="ストーリー", INT((COUNTIF($D$2:D6, "ストーリー")-1)/3) + 1, "NA")</f>
        <v>NA</v>
      </c>
      <c r="F6" s="7" t="s">
        <v>82</v>
      </c>
      <c r="G6" s="7"/>
      <c r="H6" s="7"/>
      <c r="I6" s="7" t="s">
        <v>78</v>
      </c>
      <c r="J6" s="1"/>
    </row>
    <row r="7" spans="1:10" customFormat="1" ht="18.75">
      <c r="A7" s="7">
        <f t="shared" si="0"/>
        <v>6</v>
      </c>
      <c r="B7" s="7" t="s">
        <v>164</v>
      </c>
      <c r="C7" s="7">
        <v>5</v>
      </c>
      <c r="D7" s="7" t="s">
        <v>285</v>
      </c>
      <c r="E7" s="7" t="str">
        <f>IF(D7="ストーリー", INT((COUNTIF($D$2:D7, "ストーリー")-1)/3) + 1, "NA")</f>
        <v>NA</v>
      </c>
      <c r="F7" s="7" t="s">
        <v>83</v>
      </c>
      <c r="G7" s="7"/>
      <c r="H7" s="7"/>
      <c r="I7" s="7" t="s">
        <v>78</v>
      </c>
      <c r="J7" s="1"/>
    </row>
    <row r="8" spans="1:10" customFormat="1" ht="18.75">
      <c r="A8" s="7">
        <f t="shared" si="0"/>
        <v>7</v>
      </c>
      <c r="B8" s="7" t="s">
        <v>164</v>
      </c>
      <c r="C8" s="7">
        <v>5</v>
      </c>
      <c r="D8" s="7" t="s">
        <v>285</v>
      </c>
      <c r="E8" s="7" t="str">
        <f>IF(D8="ストーリー", INT((COUNTIF($D$2:D8, "ストーリー")-1)/3) + 1, "NA")</f>
        <v>NA</v>
      </c>
      <c r="F8" s="7" t="s">
        <v>84</v>
      </c>
      <c r="G8" s="7"/>
      <c r="H8" s="7"/>
      <c r="I8" s="7" t="s">
        <v>78</v>
      </c>
      <c r="J8" s="1"/>
    </row>
    <row r="9" spans="1:10" customFormat="1" ht="18.75">
      <c r="A9" s="7">
        <f t="shared" si="0"/>
        <v>8</v>
      </c>
      <c r="B9" s="7" t="s">
        <v>164</v>
      </c>
      <c r="C9" s="7">
        <v>5</v>
      </c>
      <c r="D9" s="7" t="s">
        <v>285</v>
      </c>
      <c r="E9" s="7" t="str">
        <f>IF(D9="ストーリー", INT((COUNTIF($D$2:D9, "ストーリー")-1)/3) + 1, "NA")</f>
        <v>NA</v>
      </c>
      <c r="F9" s="7" t="s">
        <v>85</v>
      </c>
      <c r="G9" s="7"/>
      <c r="H9" s="7"/>
      <c r="I9" s="7" t="s">
        <v>78</v>
      </c>
      <c r="J9" s="1"/>
    </row>
    <row r="10" spans="1:10" customFormat="1" ht="18.75">
      <c r="A10" s="7">
        <f t="shared" si="0"/>
        <v>9</v>
      </c>
      <c r="B10" s="7" t="s">
        <v>164</v>
      </c>
      <c r="C10" s="7">
        <v>5</v>
      </c>
      <c r="D10" s="7" t="s">
        <v>285</v>
      </c>
      <c r="E10" s="7" t="str">
        <f>IF(D10="ストーリー", INT((COUNTIF($D$2:D10, "ストーリー")-1)/3) + 1, "NA")</f>
        <v>NA</v>
      </c>
      <c r="F10" s="7" t="s">
        <v>86</v>
      </c>
      <c r="G10" s="7"/>
      <c r="H10" s="7"/>
      <c r="I10" s="7" t="s">
        <v>78</v>
      </c>
      <c r="J10" s="1"/>
    </row>
    <row r="11" spans="1:10" customFormat="1" ht="18.75">
      <c r="A11" s="7">
        <f t="shared" si="0"/>
        <v>10</v>
      </c>
      <c r="B11" s="7" t="s">
        <v>164</v>
      </c>
      <c r="C11" s="7">
        <v>5</v>
      </c>
      <c r="D11" s="7" t="s">
        <v>285</v>
      </c>
      <c r="E11" s="7" t="str">
        <f>IF(D11="ストーリー", INT((COUNTIF($D$2:D11, "ストーリー")-1)/3) + 1, "NA")</f>
        <v>NA</v>
      </c>
      <c r="F11" s="7" t="s">
        <v>87</v>
      </c>
      <c r="G11" s="7"/>
      <c r="H11" s="7"/>
      <c r="I11" s="7" t="s">
        <v>78</v>
      </c>
      <c r="J11" s="1"/>
    </row>
    <row r="12" spans="1:10" customFormat="1" ht="18.75">
      <c r="A12" s="7">
        <f>ROW()-1</f>
        <v>11</v>
      </c>
      <c r="B12" s="7" t="s">
        <v>164</v>
      </c>
      <c r="C12" s="7">
        <v>4</v>
      </c>
      <c r="D12" s="7" t="s">
        <v>285</v>
      </c>
      <c r="E12" s="7" t="str">
        <f>IF(D12="ストーリー", INT((COUNTIF($D$2:D12, "ストーリー")-1)/3) + 1, "NA")</f>
        <v>NA</v>
      </c>
      <c r="F12" s="7" t="s">
        <v>4</v>
      </c>
      <c r="G12" s="7"/>
      <c r="H12" s="7"/>
      <c r="I12" s="8" t="s">
        <v>5</v>
      </c>
      <c r="J12" s="1"/>
    </row>
    <row r="13" spans="1:10" customFormat="1" ht="18.75">
      <c r="A13" s="7">
        <f t="shared" ref="A13:A79" si="1">ROW()-1</f>
        <v>12</v>
      </c>
      <c r="B13" s="7" t="s">
        <v>164</v>
      </c>
      <c r="C13" s="7">
        <v>4</v>
      </c>
      <c r="D13" s="7" t="s">
        <v>285</v>
      </c>
      <c r="E13" s="7" t="str">
        <f>IF(D13="ストーリー", INT((COUNTIF($D$2:D13, "ストーリー")-1)/3) + 1, "NA")</f>
        <v>NA</v>
      </c>
      <c r="F13" s="7" t="s">
        <v>6</v>
      </c>
      <c r="G13" s="7"/>
      <c r="H13" s="7"/>
      <c r="I13" s="8" t="s">
        <v>5</v>
      </c>
      <c r="J13" s="1"/>
    </row>
    <row r="14" spans="1:10" customFormat="1" ht="18.75">
      <c r="A14" s="7">
        <f t="shared" si="1"/>
        <v>13</v>
      </c>
      <c r="B14" s="7" t="s">
        <v>164</v>
      </c>
      <c r="C14" s="7">
        <v>4</v>
      </c>
      <c r="D14" s="7" t="s">
        <v>285</v>
      </c>
      <c r="E14" s="7" t="str">
        <f>IF(D14="ストーリー", INT((COUNTIF($D$2:D14, "ストーリー")-1)/3) + 1, "NA")</f>
        <v>NA</v>
      </c>
      <c r="F14" s="7" t="s">
        <v>7</v>
      </c>
      <c r="G14" s="7"/>
      <c r="H14" s="7"/>
      <c r="I14" s="8" t="s">
        <v>5</v>
      </c>
      <c r="J14" s="1"/>
    </row>
    <row r="15" spans="1:10" customFormat="1" ht="18.75">
      <c r="A15" s="7">
        <f t="shared" si="1"/>
        <v>14</v>
      </c>
      <c r="B15" s="7" t="s">
        <v>164</v>
      </c>
      <c r="C15" s="7">
        <v>4</v>
      </c>
      <c r="D15" s="7" t="s">
        <v>285</v>
      </c>
      <c r="E15" s="7" t="str">
        <f>IF(D15="ストーリー", INT((COUNTIF($D$2:D15, "ストーリー")-1)/3) + 1, "NA")</f>
        <v>NA</v>
      </c>
      <c r="F15" s="7" t="s">
        <v>8</v>
      </c>
      <c r="G15" s="7"/>
      <c r="H15" s="7"/>
      <c r="I15" s="8" t="s">
        <v>5</v>
      </c>
      <c r="J15" s="1"/>
    </row>
    <row r="16" spans="1:10" customFormat="1" ht="18.75">
      <c r="A16" s="7">
        <f t="shared" si="1"/>
        <v>15</v>
      </c>
      <c r="B16" s="7" t="s">
        <v>164</v>
      </c>
      <c r="C16" s="7">
        <v>4</v>
      </c>
      <c r="D16" s="7" t="s">
        <v>285</v>
      </c>
      <c r="E16" s="7" t="str">
        <f>IF(D16="ストーリー", INT((COUNTIF($D$2:D16, "ストーリー")-1)/3) + 1, "NA")</f>
        <v>NA</v>
      </c>
      <c r="F16" s="7" t="s">
        <v>9</v>
      </c>
      <c r="G16" s="7"/>
      <c r="H16" s="7"/>
      <c r="I16" s="8" t="s">
        <v>5</v>
      </c>
      <c r="J16" s="1"/>
    </row>
    <row r="17" spans="1:10" customFormat="1" ht="18.75">
      <c r="A17" s="7">
        <f t="shared" si="1"/>
        <v>16</v>
      </c>
      <c r="B17" s="7" t="s">
        <v>164</v>
      </c>
      <c r="C17" s="7">
        <v>4</v>
      </c>
      <c r="D17" s="7" t="s">
        <v>285</v>
      </c>
      <c r="E17" s="7" t="str">
        <f>IF(D17="ストーリー", INT((COUNTIF($D$2:D17, "ストーリー")-1)/3) + 1, "NA")</f>
        <v>NA</v>
      </c>
      <c r="F17" s="7" t="s">
        <v>10</v>
      </c>
      <c r="G17" s="7"/>
      <c r="H17" s="7"/>
      <c r="I17" s="8" t="s">
        <v>5</v>
      </c>
      <c r="J17" s="1"/>
    </row>
    <row r="18" spans="1:10" customFormat="1" ht="18.75">
      <c r="A18" s="7">
        <f t="shared" si="1"/>
        <v>17</v>
      </c>
      <c r="B18" s="7" t="s">
        <v>164</v>
      </c>
      <c r="C18" s="7">
        <v>4</v>
      </c>
      <c r="D18" s="7" t="s">
        <v>285</v>
      </c>
      <c r="E18" s="7" t="str">
        <f>IF(D18="ストーリー", INT((COUNTIF($D$2:D18, "ストーリー")-1)/3) + 1, "NA")</f>
        <v>NA</v>
      </c>
      <c r="F18" s="7" t="s">
        <v>11</v>
      </c>
      <c r="G18" s="7"/>
      <c r="H18" s="7"/>
      <c r="I18" s="8" t="s">
        <v>5</v>
      </c>
      <c r="J18" s="1"/>
    </row>
    <row r="19" spans="1:10" customFormat="1" ht="18.75">
      <c r="A19" s="7">
        <f t="shared" si="1"/>
        <v>18</v>
      </c>
      <c r="B19" s="7" t="s">
        <v>164</v>
      </c>
      <c r="C19" s="7">
        <v>4</v>
      </c>
      <c r="D19" s="7" t="s">
        <v>285</v>
      </c>
      <c r="E19" s="7" t="str">
        <f>IF(D19="ストーリー", INT((COUNTIF($D$2:D19, "ストーリー")-1)/3) + 1, "NA")</f>
        <v>NA</v>
      </c>
      <c r="F19" s="7" t="s">
        <v>12</v>
      </c>
      <c r="G19" s="7"/>
      <c r="H19" s="7"/>
      <c r="I19" s="8" t="s">
        <v>5</v>
      </c>
      <c r="J19" s="1"/>
    </row>
    <row r="20" spans="1:10" customFormat="1" ht="18.75">
      <c r="A20" s="7">
        <f t="shared" si="1"/>
        <v>19</v>
      </c>
      <c r="B20" s="7" t="s">
        <v>164</v>
      </c>
      <c r="C20" s="7">
        <v>4</v>
      </c>
      <c r="D20" s="7" t="s">
        <v>285</v>
      </c>
      <c r="E20" s="7" t="str">
        <f>IF(D20="ストーリー", INT((COUNTIF($D$2:D20, "ストーリー")-1)/3) + 1, "NA")</f>
        <v>NA</v>
      </c>
      <c r="F20" s="7" t="s">
        <v>13</v>
      </c>
      <c r="G20" s="7"/>
      <c r="H20" s="7"/>
      <c r="I20" s="8" t="s">
        <v>5</v>
      </c>
      <c r="J20" s="1"/>
    </row>
    <row r="21" spans="1:10" customFormat="1" ht="18.75">
      <c r="A21" s="7">
        <f t="shared" si="1"/>
        <v>20</v>
      </c>
      <c r="B21" s="7" t="s">
        <v>164</v>
      </c>
      <c r="C21" s="7">
        <v>4</v>
      </c>
      <c r="D21" s="7" t="s">
        <v>285</v>
      </c>
      <c r="E21" s="7" t="str">
        <f>IF(D21="ストーリー", INT((COUNTIF($D$2:D21, "ストーリー")-1)/3) + 1, "NA")</f>
        <v>NA</v>
      </c>
      <c r="F21" s="7" t="s">
        <v>14</v>
      </c>
      <c r="G21" s="7"/>
      <c r="H21" s="7"/>
      <c r="I21" s="8" t="s">
        <v>5</v>
      </c>
      <c r="J21" s="1"/>
    </row>
    <row r="22" spans="1:10" customFormat="1" ht="18.75">
      <c r="A22" s="7">
        <f t="shared" si="1"/>
        <v>21</v>
      </c>
      <c r="B22" s="7" t="s">
        <v>164</v>
      </c>
      <c r="C22" s="7">
        <v>4</v>
      </c>
      <c r="D22" s="7" t="s">
        <v>285</v>
      </c>
      <c r="E22" s="7" t="str">
        <f>IF(D22="ストーリー", INT((COUNTIF($D$2:D22, "ストーリー")-1)/3) + 1, "NA")</f>
        <v>NA</v>
      </c>
      <c r="F22" s="7" t="s">
        <v>15</v>
      </c>
      <c r="G22" s="7"/>
      <c r="H22" s="7"/>
      <c r="I22" s="8" t="s">
        <v>5</v>
      </c>
      <c r="J22" s="1"/>
    </row>
    <row r="23" spans="1:10" customFormat="1" ht="18.75">
      <c r="A23" s="7">
        <f t="shared" si="1"/>
        <v>22</v>
      </c>
      <c r="B23" s="7" t="s">
        <v>164</v>
      </c>
      <c r="C23" s="7">
        <v>4</v>
      </c>
      <c r="D23" s="7" t="s">
        <v>285</v>
      </c>
      <c r="E23" s="7" t="str">
        <f>IF(D23="ストーリー", INT((COUNTIF($D$2:D23, "ストーリー")-1)/3) + 1, "NA")</f>
        <v>NA</v>
      </c>
      <c r="F23" s="7" t="s">
        <v>16</v>
      </c>
      <c r="G23" s="7"/>
      <c r="H23" s="7"/>
      <c r="I23" s="8" t="s">
        <v>5</v>
      </c>
      <c r="J23" s="1"/>
    </row>
    <row r="24" spans="1:10" customFormat="1" ht="18.75">
      <c r="A24" s="7">
        <f t="shared" si="1"/>
        <v>23</v>
      </c>
      <c r="B24" s="7" t="s">
        <v>164</v>
      </c>
      <c r="C24" s="7">
        <v>4</v>
      </c>
      <c r="D24" s="7" t="s">
        <v>285</v>
      </c>
      <c r="E24" s="7" t="str">
        <f>IF(D24="ストーリー", INT((COUNTIF($D$2:D24, "ストーリー")-1)/3) + 1, "NA")</f>
        <v>NA</v>
      </c>
      <c r="F24" s="7" t="s">
        <v>17</v>
      </c>
      <c r="G24" s="7"/>
      <c r="H24" s="7"/>
      <c r="I24" s="8" t="s">
        <v>5</v>
      </c>
      <c r="J24" s="1"/>
    </row>
    <row r="25" spans="1:10" customFormat="1" ht="18.75">
      <c r="A25" s="7">
        <f t="shared" si="1"/>
        <v>24</v>
      </c>
      <c r="B25" s="7" t="s">
        <v>164</v>
      </c>
      <c r="C25" s="7">
        <v>3</v>
      </c>
      <c r="D25" s="7" t="s">
        <v>285</v>
      </c>
      <c r="E25" s="7" t="str">
        <f>IF(D25="ストーリー", INT((COUNTIF($D$2:D25, "ストーリー")-1)/3) + 1, "NA")</f>
        <v>NA</v>
      </c>
      <c r="F25" s="7" t="s">
        <v>60</v>
      </c>
      <c r="G25" s="7"/>
      <c r="H25" s="7"/>
      <c r="I25" s="8" t="s">
        <v>61</v>
      </c>
      <c r="J25" s="1"/>
    </row>
    <row r="26" spans="1:10" customFormat="1" ht="18.75">
      <c r="A26" s="7">
        <f t="shared" si="1"/>
        <v>25</v>
      </c>
      <c r="B26" s="7" t="s">
        <v>164</v>
      </c>
      <c r="C26" s="7">
        <v>3</v>
      </c>
      <c r="D26" s="7" t="s">
        <v>285</v>
      </c>
      <c r="E26" s="7" t="str">
        <f>IF(D26="ストーリー", INT((COUNTIF($D$2:D26, "ストーリー")-1)/3) + 1, "NA")</f>
        <v>NA</v>
      </c>
      <c r="F26" s="7" t="s">
        <v>62</v>
      </c>
      <c r="G26" s="7"/>
      <c r="H26" s="7"/>
      <c r="I26" s="8" t="s">
        <v>61</v>
      </c>
      <c r="J26" s="1"/>
    </row>
    <row r="27" spans="1:10" customFormat="1" ht="18.75">
      <c r="A27" s="7">
        <f t="shared" si="1"/>
        <v>26</v>
      </c>
      <c r="B27" s="7" t="s">
        <v>164</v>
      </c>
      <c r="C27" s="7">
        <v>3</v>
      </c>
      <c r="D27" s="7" t="s">
        <v>285</v>
      </c>
      <c r="E27" s="7" t="str">
        <f>IF(D27="ストーリー", INT((COUNTIF($D$2:D27, "ストーリー")-1)/3) + 1, "NA")</f>
        <v>NA</v>
      </c>
      <c r="F27" s="7" t="s">
        <v>63</v>
      </c>
      <c r="G27" s="7"/>
      <c r="H27" s="7"/>
      <c r="I27" s="8" t="s">
        <v>61</v>
      </c>
      <c r="J27" s="1"/>
    </row>
    <row r="28" spans="1:10" customFormat="1" ht="18.75">
      <c r="A28" s="7">
        <f t="shared" si="1"/>
        <v>27</v>
      </c>
      <c r="B28" s="7" t="s">
        <v>164</v>
      </c>
      <c r="C28" s="7">
        <v>3</v>
      </c>
      <c r="D28" s="7" t="s">
        <v>285</v>
      </c>
      <c r="E28" s="7" t="str">
        <f>IF(D28="ストーリー", INT((COUNTIF($D$2:D28, "ストーリー")-1)/3) + 1, "NA")</f>
        <v>NA</v>
      </c>
      <c r="F28" s="7" t="s">
        <v>64</v>
      </c>
      <c r="G28" s="7"/>
      <c r="H28" s="7"/>
      <c r="I28" s="8" t="s">
        <v>61</v>
      </c>
      <c r="J28" s="1"/>
    </row>
    <row r="29" spans="1:10" customFormat="1" ht="18.75">
      <c r="A29" s="7">
        <f t="shared" si="1"/>
        <v>28</v>
      </c>
      <c r="B29" s="7" t="s">
        <v>164</v>
      </c>
      <c r="C29" s="7">
        <v>3</v>
      </c>
      <c r="D29" s="7" t="s">
        <v>285</v>
      </c>
      <c r="E29" s="7" t="str">
        <f>IF(D29="ストーリー", INT((COUNTIF($D$2:D29, "ストーリー")-1)/3) + 1, "NA")</f>
        <v>NA</v>
      </c>
      <c r="F29" s="7" t="s">
        <v>65</v>
      </c>
      <c r="G29" s="7"/>
      <c r="H29" s="7"/>
      <c r="I29" s="8" t="s">
        <v>61</v>
      </c>
      <c r="J29" s="1"/>
    </row>
    <row r="30" spans="1:10" customFormat="1" ht="18.75">
      <c r="A30" s="7">
        <f t="shared" si="1"/>
        <v>29</v>
      </c>
      <c r="B30" s="7" t="s">
        <v>164</v>
      </c>
      <c r="C30" s="7">
        <v>3</v>
      </c>
      <c r="D30" s="7" t="s">
        <v>285</v>
      </c>
      <c r="E30" s="7" t="str">
        <f>IF(D30="ストーリー", INT((COUNTIF($D$2:D30, "ストーリー")-1)/3) + 1, "NA")</f>
        <v>NA</v>
      </c>
      <c r="F30" s="7" t="s">
        <v>66</v>
      </c>
      <c r="G30" s="7"/>
      <c r="H30" s="7"/>
      <c r="I30" s="8" t="s">
        <v>61</v>
      </c>
      <c r="J30" s="1"/>
    </row>
    <row r="31" spans="1:10" customFormat="1" ht="18.75">
      <c r="A31" s="7">
        <f t="shared" si="1"/>
        <v>30</v>
      </c>
      <c r="B31" s="7" t="s">
        <v>164</v>
      </c>
      <c r="C31" s="7">
        <v>3</v>
      </c>
      <c r="D31" s="7" t="s">
        <v>285</v>
      </c>
      <c r="E31" s="7" t="str">
        <f>IF(D31="ストーリー", INT((COUNTIF($D$2:D31, "ストーリー")-1)/3) + 1, "NA")</f>
        <v>NA</v>
      </c>
      <c r="F31" s="7" t="s">
        <v>67</v>
      </c>
      <c r="G31" s="7"/>
      <c r="H31" s="7"/>
      <c r="I31" s="8" t="s">
        <v>61</v>
      </c>
      <c r="J31" s="1"/>
    </row>
    <row r="32" spans="1:10" customFormat="1" ht="18.75">
      <c r="A32" s="7">
        <f t="shared" si="1"/>
        <v>31</v>
      </c>
      <c r="B32" s="7" t="s">
        <v>164</v>
      </c>
      <c r="C32" s="7">
        <v>3</v>
      </c>
      <c r="D32" s="7" t="s">
        <v>285</v>
      </c>
      <c r="E32" s="7" t="str">
        <f>IF(D32="ストーリー", INT((COUNTIF($D$2:D32, "ストーリー")-1)/3) + 1, "NA")</f>
        <v>NA</v>
      </c>
      <c r="F32" s="7" t="s">
        <v>68</v>
      </c>
      <c r="G32" s="7"/>
      <c r="H32" s="7"/>
      <c r="I32" s="8" t="s">
        <v>61</v>
      </c>
      <c r="J32" s="1"/>
    </row>
    <row r="33" spans="1:10" customFormat="1" ht="18.75">
      <c r="A33" s="7">
        <f t="shared" si="1"/>
        <v>32</v>
      </c>
      <c r="B33" s="7" t="s">
        <v>164</v>
      </c>
      <c r="C33" s="7">
        <v>3</v>
      </c>
      <c r="D33" s="7" t="s">
        <v>285</v>
      </c>
      <c r="E33" s="7" t="str">
        <f>IF(D33="ストーリー", INT((COUNTIF($D$2:D33, "ストーリー")-1)/3) + 1, "NA")</f>
        <v>NA</v>
      </c>
      <c r="F33" s="7" t="s">
        <v>69</v>
      </c>
      <c r="G33" s="7"/>
      <c r="H33" s="7"/>
      <c r="I33" s="8" t="s">
        <v>61</v>
      </c>
      <c r="J33" s="1"/>
    </row>
    <row r="34" spans="1:10" customFormat="1" ht="18.75">
      <c r="A34" s="7">
        <f t="shared" si="1"/>
        <v>33</v>
      </c>
      <c r="B34" s="7" t="s">
        <v>164</v>
      </c>
      <c r="C34" s="7">
        <v>3</v>
      </c>
      <c r="D34" s="7" t="s">
        <v>285</v>
      </c>
      <c r="E34" s="7" t="str">
        <f>IF(D34="ストーリー", INT((COUNTIF($D$2:D34, "ストーリー")-1)/3) + 1, "NA")</f>
        <v>NA</v>
      </c>
      <c r="F34" s="7" t="s">
        <v>70</v>
      </c>
      <c r="G34" s="7"/>
      <c r="H34" s="7"/>
      <c r="I34" s="8" t="s">
        <v>61</v>
      </c>
      <c r="J34" s="1"/>
    </row>
    <row r="35" spans="1:10" customFormat="1" ht="18.75">
      <c r="A35" s="7">
        <f t="shared" si="1"/>
        <v>34</v>
      </c>
      <c r="B35" s="7" t="s">
        <v>164</v>
      </c>
      <c r="C35" s="7">
        <v>3</v>
      </c>
      <c r="D35" s="7" t="s">
        <v>285</v>
      </c>
      <c r="E35" s="7" t="str">
        <f>IF(D35="ストーリー", INT((COUNTIF($D$2:D35, "ストーリー")-1)/3) + 1, "NA")</f>
        <v>NA</v>
      </c>
      <c r="F35" s="7" t="s">
        <v>71</v>
      </c>
      <c r="G35" s="7"/>
      <c r="H35" s="7"/>
      <c r="I35" s="8" t="s">
        <v>61</v>
      </c>
      <c r="J35" s="1"/>
    </row>
    <row r="36" spans="1:10" customFormat="1" ht="18.75">
      <c r="A36" s="7">
        <f t="shared" si="1"/>
        <v>35</v>
      </c>
      <c r="B36" s="7" t="s">
        <v>164</v>
      </c>
      <c r="C36" s="7">
        <v>3</v>
      </c>
      <c r="D36" s="7" t="s">
        <v>285</v>
      </c>
      <c r="E36" s="7" t="str">
        <f>IF(D36="ストーリー", INT((COUNTIF($D$2:D36, "ストーリー")-1)/3) + 1, "NA")</f>
        <v>NA</v>
      </c>
      <c r="F36" s="7" t="s">
        <v>72</v>
      </c>
      <c r="G36" s="7"/>
      <c r="H36" s="7"/>
      <c r="I36" s="8" t="s">
        <v>61</v>
      </c>
      <c r="J36" s="1"/>
    </row>
    <row r="37" spans="1:10" customFormat="1" ht="18.75">
      <c r="A37" s="7">
        <f t="shared" si="1"/>
        <v>36</v>
      </c>
      <c r="B37" s="7" t="s">
        <v>164</v>
      </c>
      <c r="C37" s="7">
        <v>3</v>
      </c>
      <c r="D37" s="7" t="s">
        <v>285</v>
      </c>
      <c r="E37" s="7" t="str">
        <f>IF(D37="ストーリー", INT((COUNTIF($D$2:D37, "ストーリー")-1)/3) + 1, "NA")</f>
        <v>NA</v>
      </c>
      <c r="F37" s="7" t="s">
        <v>73</v>
      </c>
      <c r="G37" s="7"/>
      <c r="H37" s="7"/>
      <c r="I37" s="8" t="s">
        <v>61</v>
      </c>
      <c r="J37" s="1"/>
    </row>
    <row r="38" spans="1:10" customFormat="1" ht="18.75">
      <c r="A38" s="7">
        <f t="shared" si="1"/>
        <v>37</v>
      </c>
      <c r="B38" s="7" t="s">
        <v>164</v>
      </c>
      <c r="C38" s="7">
        <v>3</v>
      </c>
      <c r="D38" s="7" t="s">
        <v>285</v>
      </c>
      <c r="E38" s="7" t="str">
        <f>IF(D38="ストーリー", INT((COUNTIF($D$2:D38, "ストーリー")-1)/3) + 1, "NA")</f>
        <v>NA</v>
      </c>
      <c r="F38" s="7" t="s">
        <v>74</v>
      </c>
      <c r="G38" s="7"/>
      <c r="H38" s="7"/>
      <c r="I38" s="8" t="s">
        <v>61</v>
      </c>
      <c r="J38" s="1"/>
    </row>
    <row r="39" spans="1:10" customFormat="1" ht="18.75">
      <c r="A39" s="7">
        <f t="shared" si="0"/>
        <v>38</v>
      </c>
      <c r="B39" s="7" t="s">
        <v>164</v>
      </c>
      <c r="C39" s="7">
        <v>3</v>
      </c>
      <c r="D39" s="7" t="s">
        <v>285</v>
      </c>
      <c r="E39" s="7" t="str">
        <f>IF(D39="ストーリー", INT((COUNTIF($D$2:D39, "ストーリー")-1)/3) + 1, "NA")</f>
        <v>NA</v>
      </c>
      <c r="F39" s="7" t="s">
        <v>75</v>
      </c>
      <c r="G39" s="7"/>
      <c r="H39" s="7"/>
      <c r="I39" s="8" t="s">
        <v>61</v>
      </c>
      <c r="J39" s="1"/>
    </row>
    <row r="40" spans="1:10" customFormat="1" ht="18.75">
      <c r="A40" s="7">
        <f t="shared" si="0"/>
        <v>39</v>
      </c>
      <c r="B40" s="7" t="s">
        <v>164</v>
      </c>
      <c r="C40" s="7">
        <v>3</v>
      </c>
      <c r="D40" s="7" t="s">
        <v>285</v>
      </c>
      <c r="E40" s="7" t="str">
        <f>IF(D40="ストーリー", INT((COUNTIF($D$2:D40, "ストーリー")-1)/3) + 1, "NA")</f>
        <v>NA</v>
      </c>
      <c r="F40" s="7" t="s">
        <v>76</v>
      </c>
      <c r="G40" s="7"/>
      <c r="H40" s="7"/>
      <c r="I40" s="8" t="s">
        <v>61</v>
      </c>
      <c r="J40" s="1"/>
    </row>
    <row r="41" spans="1:10">
      <c r="A41" s="7">
        <f t="shared" si="1"/>
        <v>40</v>
      </c>
      <c r="B41" s="7" t="s">
        <v>164</v>
      </c>
      <c r="C41" s="7">
        <v>2</v>
      </c>
      <c r="D41" s="7" t="s">
        <v>285</v>
      </c>
      <c r="E41" s="7" t="str">
        <f>IF(D41="ストーリー", INT((COUNTIF($D$2:D41, "ストーリー")-1)/3) + 1, "NA")</f>
        <v>NA</v>
      </c>
      <c r="F41" s="7" t="s">
        <v>45</v>
      </c>
      <c r="G41" s="7"/>
      <c r="H41" s="7"/>
      <c r="I41" s="8" t="s">
        <v>46</v>
      </c>
      <c r="J41" s="4"/>
    </row>
    <row r="42" spans="1:10">
      <c r="A42" s="7">
        <f t="shared" si="1"/>
        <v>41</v>
      </c>
      <c r="B42" s="7" t="s">
        <v>164</v>
      </c>
      <c r="C42" s="7">
        <v>2</v>
      </c>
      <c r="D42" s="7" t="s">
        <v>285</v>
      </c>
      <c r="E42" s="7" t="str">
        <f>IF(D42="ストーリー", INT((COUNTIF($D$2:D42, "ストーリー")-1)/3) + 1, "NA")</f>
        <v>NA</v>
      </c>
      <c r="F42" s="7" t="s">
        <v>47</v>
      </c>
      <c r="G42" s="7"/>
      <c r="H42" s="7"/>
      <c r="I42" s="8" t="s">
        <v>46</v>
      </c>
      <c r="J42" s="4"/>
    </row>
    <row r="43" spans="1:10">
      <c r="A43" s="7">
        <f t="shared" si="1"/>
        <v>42</v>
      </c>
      <c r="B43" s="7" t="s">
        <v>164</v>
      </c>
      <c r="C43" s="7">
        <v>2</v>
      </c>
      <c r="D43" s="7" t="s">
        <v>285</v>
      </c>
      <c r="E43" s="7" t="str">
        <f>IF(D43="ストーリー", INT((COUNTIF($D$2:D43, "ストーリー")-1)/3) + 1, "NA")</f>
        <v>NA</v>
      </c>
      <c r="F43" s="7" t="s">
        <v>48</v>
      </c>
      <c r="G43" s="7"/>
      <c r="H43" s="7"/>
      <c r="I43" s="8" t="s">
        <v>46</v>
      </c>
      <c r="J43" s="4"/>
    </row>
    <row r="44" spans="1:10">
      <c r="A44" s="7">
        <f t="shared" si="1"/>
        <v>43</v>
      </c>
      <c r="B44" s="7" t="s">
        <v>164</v>
      </c>
      <c r="C44" s="7">
        <v>2</v>
      </c>
      <c r="D44" s="7" t="s">
        <v>285</v>
      </c>
      <c r="E44" s="7" t="str">
        <f>IF(D44="ストーリー", INT((COUNTIF($D$2:D44, "ストーリー")-1)/3) + 1, "NA")</f>
        <v>NA</v>
      </c>
      <c r="F44" s="7" t="s">
        <v>49</v>
      </c>
      <c r="G44" s="7"/>
      <c r="H44" s="7"/>
      <c r="I44" s="8" t="s">
        <v>46</v>
      </c>
      <c r="J44" s="4"/>
    </row>
    <row r="45" spans="1:10">
      <c r="A45" s="7">
        <f t="shared" si="1"/>
        <v>44</v>
      </c>
      <c r="B45" s="7" t="s">
        <v>164</v>
      </c>
      <c r="C45" s="7">
        <v>2</v>
      </c>
      <c r="D45" s="7" t="s">
        <v>285</v>
      </c>
      <c r="E45" s="7" t="str">
        <f>IF(D45="ストーリー", INT((COUNTIF($D$2:D45, "ストーリー")-1)/3) + 1, "NA")</f>
        <v>NA</v>
      </c>
      <c r="F45" s="7" t="s">
        <v>50</v>
      </c>
      <c r="G45" s="7"/>
      <c r="H45" s="7"/>
      <c r="I45" s="8" t="s">
        <v>46</v>
      </c>
      <c r="J45" s="4"/>
    </row>
    <row r="46" spans="1:10">
      <c r="A46" s="7">
        <f t="shared" si="1"/>
        <v>45</v>
      </c>
      <c r="B46" s="7" t="s">
        <v>164</v>
      </c>
      <c r="C46" s="7">
        <v>2</v>
      </c>
      <c r="D46" s="7" t="s">
        <v>285</v>
      </c>
      <c r="E46" s="7" t="str">
        <f>IF(D46="ストーリー", INT((COUNTIF($D$2:D46, "ストーリー")-1)/3) + 1, "NA")</f>
        <v>NA</v>
      </c>
      <c r="F46" s="7" t="s">
        <v>51</v>
      </c>
      <c r="G46" s="7"/>
      <c r="H46" s="7"/>
      <c r="I46" s="8" t="s">
        <v>46</v>
      </c>
      <c r="J46" s="4"/>
    </row>
    <row r="47" spans="1:10">
      <c r="A47" s="7">
        <f t="shared" si="1"/>
        <v>46</v>
      </c>
      <c r="B47" s="7" t="s">
        <v>164</v>
      </c>
      <c r="C47" s="7">
        <v>2</v>
      </c>
      <c r="D47" s="7" t="s">
        <v>285</v>
      </c>
      <c r="E47" s="7" t="str">
        <f>IF(D47="ストーリー", INT((COUNTIF($D$2:D47, "ストーリー")-1)/3) + 1, "NA")</f>
        <v>NA</v>
      </c>
      <c r="F47" s="7" t="s">
        <v>52</v>
      </c>
      <c r="G47" s="7"/>
      <c r="H47" s="7"/>
      <c r="I47" s="8" t="s">
        <v>46</v>
      </c>
      <c r="J47" s="4"/>
    </row>
    <row r="48" spans="1:10">
      <c r="A48" s="7">
        <f t="shared" si="1"/>
        <v>47</v>
      </c>
      <c r="B48" s="7" t="s">
        <v>164</v>
      </c>
      <c r="C48" s="7">
        <v>2</v>
      </c>
      <c r="D48" s="7" t="s">
        <v>285</v>
      </c>
      <c r="E48" s="7" t="str">
        <f>IF(D48="ストーリー", INT((COUNTIF($D$2:D48, "ストーリー")-1)/3) + 1, "NA")</f>
        <v>NA</v>
      </c>
      <c r="F48" s="7" t="s">
        <v>53</v>
      </c>
      <c r="G48" s="7"/>
      <c r="H48" s="7"/>
      <c r="I48" s="8" t="s">
        <v>46</v>
      </c>
      <c r="J48" s="4"/>
    </row>
    <row r="49" spans="1:10">
      <c r="A49" s="7">
        <f t="shared" si="1"/>
        <v>48</v>
      </c>
      <c r="B49" s="7" t="s">
        <v>164</v>
      </c>
      <c r="C49" s="7">
        <v>2</v>
      </c>
      <c r="D49" s="7" t="s">
        <v>285</v>
      </c>
      <c r="E49" s="7" t="str">
        <f>IF(D49="ストーリー", INT((COUNTIF($D$2:D49, "ストーリー")-1)/3) + 1, "NA")</f>
        <v>NA</v>
      </c>
      <c r="F49" s="7" t="s">
        <v>54</v>
      </c>
      <c r="G49" s="7"/>
      <c r="H49" s="7"/>
      <c r="I49" s="8" t="s">
        <v>46</v>
      </c>
      <c r="J49" s="4"/>
    </row>
    <row r="50" spans="1:10">
      <c r="A50" s="7">
        <f t="shared" si="1"/>
        <v>49</v>
      </c>
      <c r="B50" s="7" t="s">
        <v>164</v>
      </c>
      <c r="C50" s="7">
        <v>2</v>
      </c>
      <c r="D50" s="7" t="s">
        <v>285</v>
      </c>
      <c r="E50" s="7" t="str">
        <f>IF(D50="ストーリー", INT((COUNTIF($D$2:D50, "ストーリー")-1)/3) + 1, "NA")</f>
        <v>NA</v>
      </c>
      <c r="F50" s="7" t="s">
        <v>55</v>
      </c>
      <c r="G50" s="7"/>
      <c r="H50" s="7"/>
      <c r="I50" s="8" t="s">
        <v>46</v>
      </c>
      <c r="J50" s="4"/>
    </row>
    <row r="51" spans="1:10">
      <c r="A51" s="7">
        <f t="shared" si="1"/>
        <v>50</v>
      </c>
      <c r="B51" s="7" t="s">
        <v>164</v>
      </c>
      <c r="C51" s="7">
        <v>2</v>
      </c>
      <c r="D51" s="7" t="s">
        <v>285</v>
      </c>
      <c r="E51" s="7" t="str">
        <f>IF(D51="ストーリー", INT((COUNTIF($D$2:D51, "ストーリー")-1)/3) + 1, "NA")</f>
        <v>NA</v>
      </c>
      <c r="F51" s="7" t="s">
        <v>56</v>
      </c>
      <c r="G51" s="7"/>
      <c r="H51" s="7"/>
      <c r="I51" s="8" t="s">
        <v>46</v>
      </c>
      <c r="J51" s="4"/>
    </row>
    <row r="52" spans="1:10">
      <c r="A52" s="7">
        <f t="shared" si="1"/>
        <v>51</v>
      </c>
      <c r="B52" s="7" t="s">
        <v>164</v>
      </c>
      <c r="C52" s="7">
        <v>2</v>
      </c>
      <c r="D52" s="7" t="s">
        <v>285</v>
      </c>
      <c r="E52" s="7" t="str">
        <f>IF(D52="ストーリー", INT((COUNTIF($D$2:D52, "ストーリー")-1)/3) + 1, "NA")</f>
        <v>NA</v>
      </c>
      <c r="F52" s="7" t="s">
        <v>57</v>
      </c>
      <c r="G52" s="7"/>
      <c r="H52" s="7"/>
      <c r="I52" s="8" t="s">
        <v>46</v>
      </c>
      <c r="J52" s="4"/>
    </row>
    <row r="53" spans="1:10">
      <c r="A53" s="7">
        <f t="shared" si="1"/>
        <v>52</v>
      </c>
      <c r="B53" s="7" t="s">
        <v>164</v>
      </c>
      <c r="C53" s="7">
        <v>2</v>
      </c>
      <c r="D53" s="7" t="s">
        <v>285</v>
      </c>
      <c r="E53" s="7" t="str">
        <f>IF(D53="ストーリー", INT((COUNTIF($D$2:D53, "ストーリー")-1)/3) + 1, "NA")</f>
        <v>NA</v>
      </c>
      <c r="F53" s="7" t="s">
        <v>58</v>
      </c>
      <c r="G53" s="7"/>
      <c r="H53" s="7"/>
      <c r="I53" s="8" t="s">
        <v>46</v>
      </c>
      <c r="J53" s="4"/>
    </row>
    <row r="54" spans="1:10">
      <c r="A54" s="7">
        <f t="shared" si="1"/>
        <v>53</v>
      </c>
      <c r="B54" s="7" t="s">
        <v>164</v>
      </c>
      <c r="C54" s="7">
        <v>2</v>
      </c>
      <c r="D54" s="7" t="s">
        <v>285</v>
      </c>
      <c r="E54" s="7" t="str">
        <f>IF(D54="ストーリー", INT((COUNTIF($D$2:D54, "ストーリー")-1)/3) + 1, "NA")</f>
        <v>NA</v>
      </c>
      <c r="F54" s="7" t="s">
        <v>59</v>
      </c>
      <c r="G54" s="7"/>
      <c r="H54" s="7"/>
      <c r="I54" s="8" t="s">
        <v>46</v>
      </c>
      <c r="J54" s="4"/>
    </row>
    <row r="55" spans="1:10" customFormat="1" ht="18.75">
      <c r="A55" s="7">
        <f t="shared" si="1"/>
        <v>54</v>
      </c>
      <c r="B55" s="7" t="s">
        <v>164</v>
      </c>
      <c r="C55" s="7" t="s">
        <v>31</v>
      </c>
      <c r="D55" s="7" t="s">
        <v>285</v>
      </c>
      <c r="E55" s="7" t="str">
        <f>IF(D55="ストーリー", INT((COUNTIF($D$2:D55, "ストーリー")-1)/3) + 1, "NA")</f>
        <v>NA</v>
      </c>
      <c r="F55" s="7" t="s">
        <v>32</v>
      </c>
      <c r="G55" s="7"/>
      <c r="H55" s="7"/>
      <c r="I55" s="8" t="s">
        <v>33</v>
      </c>
      <c r="J55" s="1"/>
    </row>
    <row r="56" spans="1:10" customFormat="1" ht="18.75">
      <c r="A56" s="7">
        <f t="shared" si="1"/>
        <v>55</v>
      </c>
      <c r="B56" s="7" t="s">
        <v>164</v>
      </c>
      <c r="C56" s="7" t="s">
        <v>31</v>
      </c>
      <c r="D56" s="7" t="s">
        <v>285</v>
      </c>
      <c r="E56" s="7" t="str">
        <f>IF(D56="ストーリー", INT((COUNTIF($D$2:D56, "ストーリー")-1)/3) + 1, "NA")</f>
        <v>NA</v>
      </c>
      <c r="F56" s="7" t="s">
        <v>34</v>
      </c>
      <c r="G56" s="7"/>
      <c r="H56" s="7"/>
      <c r="I56" s="8" t="s">
        <v>33</v>
      </c>
      <c r="J56" s="1"/>
    </row>
    <row r="57" spans="1:10" customFormat="1" ht="18.75">
      <c r="A57" s="7">
        <f t="shared" si="1"/>
        <v>56</v>
      </c>
      <c r="B57" s="7" t="s">
        <v>164</v>
      </c>
      <c r="C57" s="7" t="s">
        <v>31</v>
      </c>
      <c r="D57" s="7" t="s">
        <v>285</v>
      </c>
      <c r="E57" s="7" t="str">
        <f>IF(D57="ストーリー", INT((COUNTIF($D$2:D57, "ストーリー")-1)/3) + 1, "NA")</f>
        <v>NA</v>
      </c>
      <c r="F57" s="7" t="s">
        <v>35</v>
      </c>
      <c r="G57" s="7"/>
      <c r="H57" s="7"/>
      <c r="I57" s="8" t="s">
        <v>33</v>
      </c>
      <c r="J57" s="1"/>
    </row>
    <row r="58" spans="1:10" customFormat="1" ht="18.75">
      <c r="A58" s="7">
        <f t="shared" si="1"/>
        <v>57</v>
      </c>
      <c r="B58" s="7" t="s">
        <v>164</v>
      </c>
      <c r="C58" s="7" t="s">
        <v>31</v>
      </c>
      <c r="D58" s="7" t="s">
        <v>285</v>
      </c>
      <c r="E58" s="7" t="str">
        <f>IF(D58="ストーリー", INT((COUNTIF($D$2:D58, "ストーリー")-1)/3) + 1, "NA")</f>
        <v>NA</v>
      </c>
      <c r="F58" s="7" t="s">
        <v>36</v>
      </c>
      <c r="G58" s="7"/>
      <c r="H58" s="7"/>
      <c r="I58" s="8" t="s">
        <v>33</v>
      </c>
      <c r="J58" s="1"/>
    </row>
    <row r="59" spans="1:10" customFormat="1" ht="18.75">
      <c r="A59" s="7">
        <f t="shared" si="1"/>
        <v>58</v>
      </c>
      <c r="B59" s="7" t="s">
        <v>164</v>
      </c>
      <c r="C59" s="7" t="s">
        <v>31</v>
      </c>
      <c r="D59" s="7" t="s">
        <v>285</v>
      </c>
      <c r="E59" s="7" t="str">
        <f>IF(D59="ストーリー", INT((COUNTIF($D$2:D59, "ストーリー")-1)/3) + 1, "NA")</f>
        <v>NA</v>
      </c>
      <c r="F59" s="7" t="s">
        <v>37</v>
      </c>
      <c r="G59" s="7"/>
      <c r="H59" s="7"/>
      <c r="I59" s="8" t="s">
        <v>33</v>
      </c>
      <c r="J59" s="1"/>
    </row>
    <row r="60" spans="1:10" customFormat="1" ht="18.75">
      <c r="A60" s="7">
        <f t="shared" si="1"/>
        <v>59</v>
      </c>
      <c r="B60" s="7" t="s">
        <v>164</v>
      </c>
      <c r="C60" s="7" t="s">
        <v>31</v>
      </c>
      <c r="D60" s="7" t="s">
        <v>285</v>
      </c>
      <c r="E60" s="7" t="str">
        <f>IF(D60="ストーリー", INT((COUNTIF($D$2:D60, "ストーリー")-1)/3) + 1, "NA")</f>
        <v>NA</v>
      </c>
      <c r="F60" s="7" t="s">
        <v>38</v>
      </c>
      <c r="G60" s="7"/>
      <c r="H60" s="7"/>
      <c r="I60" s="8" t="s">
        <v>33</v>
      </c>
      <c r="J60" s="1"/>
    </row>
    <row r="61" spans="1:10" customFormat="1" ht="18.75">
      <c r="A61" s="7">
        <f t="shared" si="1"/>
        <v>60</v>
      </c>
      <c r="B61" s="7" t="s">
        <v>164</v>
      </c>
      <c r="C61" s="7" t="s">
        <v>31</v>
      </c>
      <c r="D61" s="7" t="s">
        <v>285</v>
      </c>
      <c r="E61" s="7" t="str">
        <f>IF(D61="ストーリー", INT((COUNTIF($D$2:D61, "ストーリー")-1)/3) + 1, "NA")</f>
        <v>NA</v>
      </c>
      <c r="F61" s="7" t="s">
        <v>39</v>
      </c>
      <c r="G61" s="7"/>
      <c r="H61" s="7"/>
      <c r="I61" s="8" t="s">
        <v>33</v>
      </c>
      <c r="J61" s="1"/>
    </row>
    <row r="62" spans="1:10" customFormat="1" ht="18.75">
      <c r="A62" s="7">
        <f t="shared" si="1"/>
        <v>61</v>
      </c>
      <c r="B62" s="7" t="s">
        <v>164</v>
      </c>
      <c r="C62" s="7" t="s">
        <v>31</v>
      </c>
      <c r="D62" s="7" t="s">
        <v>285</v>
      </c>
      <c r="E62" s="7" t="str">
        <f>IF(D62="ストーリー", INT((COUNTIF($D$2:D62, "ストーリー")-1)/3) + 1, "NA")</f>
        <v>NA</v>
      </c>
      <c r="F62" s="7" t="s">
        <v>40</v>
      </c>
      <c r="G62" s="7"/>
      <c r="H62" s="7"/>
      <c r="I62" s="8" t="s">
        <v>33</v>
      </c>
      <c r="J62" s="1"/>
    </row>
    <row r="63" spans="1:10" customFormat="1" ht="18.75">
      <c r="A63" s="7">
        <f t="shared" si="1"/>
        <v>62</v>
      </c>
      <c r="B63" s="7" t="s">
        <v>164</v>
      </c>
      <c r="C63" s="7" t="s">
        <v>31</v>
      </c>
      <c r="D63" s="7" t="s">
        <v>285</v>
      </c>
      <c r="E63" s="7" t="str">
        <f>IF(D63="ストーリー", INT((COUNTIF($D$2:D63, "ストーリー")-1)/3) + 1, "NA")</f>
        <v>NA</v>
      </c>
      <c r="F63" s="7" t="s">
        <v>41</v>
      </c>
      <c r="G63" s="7"/>
      <c r="H63" s="7"/>
      <c r="I63" s="8" t="s">
        <v>33</v>
      </c>
      <c r="J63" s="1"/>
    </row>
    <row r="64" spans="1:10" customFormat="1" ht="18.75">
      <c r="A64" s="7">
        <f t="shared" si="1"/>
        <v>63</v>
      </c>
      <c r="B64" s="7" t="s">
        <v>164</v>
      </c>
      <c r="C64" s="7" t="s">
        <v>31</v>
      </c>
      <c r="D64" s="7" t="s">
        <v>285</v>
      </c>
      <c r="E64" s="7" t="str">
        <f>IF(D64="ストーリー", INT((COUNTIF($D$2:D64, "ストーリー")-1)/3) + 1, "NA")</f>
        <v>NA</v>
      </c>
      <c r="F64" s="7" t="s">
        <v>42</v>
      </c>
      <c r="G64" s="7"/>
      <c r="H64" s="7"/>
      <c r="I64" s="8" t="s">
        <v>33</v>
      </c>
      <c r="J64" s="1"/>
    </row>
    <row r="65" spans="1:10" customFormat="1" ht="18.75">
      <c r="A65" s="7">
        <f t="shared" si="1"/>
        <v>64</v>
      </c>
      <c r="B65" s="7" t="s">
        <v>164</v>
      </c>
      <c r="C65" s="7" t="s">
        <v>31</v>
      </c>
      <c r="D65" s="7" t="s">
        <v>285</v>
      </c>
      <c r="E65" s="7" t="str">
        <f>IF(D65="ストーリー", INT((COUNTIF($D$2:D65, "ストーリー")-1)/3) + 1, "NA")</f>
        <v>NA</v>
      </c>
      <c r="F65" s="7" t="s">
        <v>43</v>
      </c>
      <c r="G65" s="7"/>
      <c r="H65" s="7"/>
      <c r="I65" s="8" t="s">
        <v>33</v>
      </c>
      <c r="J65" s="1"/>
    </row>
    <row r="66" spans="1:10" customFormat="1" ht="18.75">
      <c r="A66" s="7">
        <f t="shared" si="1"/>
        <v>65</v>
      </c>
      <c r="B66" s="7" t="s">
        <v>164</v>
      </c>
      <c r="C66" s="7" t="s">
        <v>31</v>
      </c>
      <c r="D66" s="7" t="s">
        <v>285</v>
      </c>
      <c r="E66" s="7" t="str">
        <f>IF(D66="ストーリー", INT((COUNTIF($D$2:D66, "ストーリー")-1)/3) + 1, "NA")</f>
        <v>NA</v>
      </c>
      <c r="F66" s="7" t="s">
        <v>44</v>
      </c>
      <c r="G66" s="7"/>
      <c r="H66" s="7"/>
      <c r="I66" s="8" t="s">
        <v>33</v>
      </c>
      <c r="J66" s="1"/>
    </row>
    <row r="67" spans="1:10" customFormat="1" ht="18.75">
      <c r="A67" s="7">
        <f t="shared" si="1"/>
        <v>66</v>
      </c>
      <c r="B67" s="7" t="s">
        <v>164</v>
      </c>
      <c r="C67" s="7">
        <v>1</v>
      </c>
      <c r="D67" s="7" t="s">
        <v>285</v>
      </c>
      <c r="E67" s="7" t="str">
        <f>IF(D67="ストーリー", INT((COUNTIF($D$2:D67, "ストーリー")-1)/3) + 1, "NA")</f>
        <v>NA</v>
      </c>
      <c r="F67" s="7" t="s">
        <v>18</v>
      </c>
      <c r="G67" s="7"/>
      <c r="H67" s="7"/>
      <c r="I67" s="8" t="s">
        <v>19</v>
      </c>
      <c r="J67" s="1"/>
    </row>
    <row r="68" spans="1:10" customFormat="1" ht="18.75">
      <c r="A68" s="7">
        <f t="shared" si="1"/>
        <v>67</v>
      </c>
      <c r="B68" s="7" t="s">
        <v>164</v>
      </c>
      <c r="C68" s="7">
        <v>1</v>
      </c>
      <c r="D68" s="7" t="s">
        <v>285</v>
      </c>
      <c r="E68" s="7" t="str">
        <f>IF(D68="ストーリー", INT((COUNTIF($D$2:D68, "ストーリー")-1)/3) + 1, "NA")</f>
        <v>NA</v>
      </c>
      <c r="F68" s="7" t="s">
        <v>20</v>
      </c>
      <c r="G68" s="7"/>
      <c r="H68" s="7"/>
      <c r="I68" s="8" t="s">
        <v>19</v>
      </c>
      <c r="J68" s="1"/>
    </row>
    <row r="69" spans="1:10" customFormat="1" ht="18.75">
      <c r="A69" s="7">
        <f t="shared" si="1"/>
        <v>68</v>
      </c>
      <c r="B69" s="7" t="s">
        <v>164</v>
      </c>
      <c r="C69" s="7">
        <v>1</v>
      </c>
      <c r="D69" s="7" t="s">
        <v>285</v>
      </c>
      <c r="E69" s="7" t="str">
        <f>IF(D69="ストーリー", INT((COUNTIF($D$2:D69, "ストーリー")-1)/3) + 1, "NA")</f>
        <v>NA</v>
      </c>
      <c r="F69" s="7" t="s">
        <v>21</v>
      </c>
      <c r="G69" s="7"/>
      <c r="H69" s="7"/>
      <c r="I69" s="8" t="s">
        <v>19</v>
      </c>
      <c r="J69" s="1"/>
    </row>
    <row r="70" spans="1:10" customFormat="1" ht="18.75">
      <c r="A70" s="7">
        <f t="shared" si="1"/>
        <v>69</v>
      </c>
      <c r="B70" s="7" t="s">
        <v>164</v>
      </c>
      <c r="C70" s="7">
        <v>1</v>
      </c>
      <c r="D70" s="7" t="s">
        <v>285</v>
      </c>
      <c r="E70" s="7" t="str">
        <f>IF(D70="ストーリー", INT((COUNTIF($D$2:D70, "ストーリー")-1)/3) + 1, "NA")</f>
        <v>NA</v>
      </c>
      <c r="F70" s="7" t="s">
        <v>22</v>
      </c>
      <c r="G70" s="7"/>
      <c r="H70" s="7"/>
      <c r="I70" s="8" t="s">
        <v>19</v>
      </c>
      <c r="J70" s="1"/>
    </row>
    <row r="71" spans="1:10" customFormat="1" ht="18.75">
      <c r="A71" s="7">
        <f t="shared" si="1"/>
        <v>70</v>
      </c>
      <c r="B71" s="7" t="s">
        <v>164</v>
      </c>
      <c r="C71" s="7">
        <v>1</v>
      </c>
      <c r="D71" s="7" t="s">
        <v>285</v>
      </c>
      <c r="E71" s="7" t="str">
        <f>IF(D71="ストーリー", INT((COUNTIF($D$2:D71, "ストーリー")-1)/3) + 1, "NA")</f>
        <v>NA</v>
      </c>
      <c r="F71" s="7" t="s">
        <v>23</v>
      </c>
      <c r="G71" s="7"/>
      <c r="H71" s="7"/>
      <c r="I71" s="8" t="s">
        <v>19</v>
      </c>
      <c r="J71" s="1"/>
    </row>
    <row r="72" spans="1:10" customFormat="1" ht="18.75">
      <c r="A72" s="7">
        <f t="shared" si="1"/>
        <v>71</v>
      </c>
      <c r="B72" s="7" t="s">
        <v>164</v>
      </c>
      <c r="C72" s="7">
        <v>1</v>
      </c>
      <c r="D72" s="7" t="s">
        <v>285</v>
      </c>
      <c r="E72" s="7" t="str">
        <f>IF(D72="ストーリー", INT((COUNTIF($D$2:D72, "ストーリー")-1)/3) + 1, "NA")</f>
        <v>NA</v>
      </c>
      <c r="F72" s="7" t="s">
        <v>24</v>
      </c>
      <c r="G72" s="7"/>
      <c r="H72" s="7"/>
      <c r="I72" s="8" t="s">
        <v>19</v>
      </c>
      <c r="J72" s="1"/>
    </row>
    <row r="73" spans="1:10" customFormat="1" ht="18.75">
      <c r="A73" s="7">
        <f t="shared" si="1"/>
        <v>72</v>
      </c>
      <c r="B73" s="7" t="s">
        <v>164</v>
      </c>
      <c r="C73" s="7">
        <v>1</v>
      </c>
      <c r="D73" s="7" t="s">
        <v>285</v>
      </c>
      <c r="E73" s="7" t="str">
        <f>IF(D73="ストーリー", INT((COUNTIF($D$2:D73, "ストーリー")-1)/3) + 1, "NA")</f>
        <v>NA</v>
      </c>
      <c r="F73" s="7" t="s">
        <v>25</v>
      </c>
      <c r="G73" s="7"/>
      <c r="H73" s="7"/>
      <c r="I73" s="8" t="s">
        <v>19</v>
      </c>
      <c r="J73" s="1"/>
    </row>
    <row r="74" spans="1:10" customFormat="1" ht="18.75">
      <c r="A74" s="7">
        <f t="shared" si="1"/>
        <v>73</v>
      </c>
      <c r="B74" s="7" t="s">
        <v>164</v>
      </c>
      <c r="C74" s="7">
        <v>1</v>
      </c>
      <c r="D74" s="7" t="s">
        <v>285</v>
      </c>
      <c r="E74" s="7" t="str">
        <f>IF(D74="ストーリー", INT((COUNTIF($D$2:D74, "ストーリー")-1)/3) + 1, "NA")</f>
        <v>NA</v>
      </c>
      <c r="F74" s="7" t="s">
        <v>26</v>
      </c>
      <c r="G74" s="7"/>
      <c r="H74" s="7"/>
      <c r="I74" s="8" t="s">
        <v>19</v>
      </c>
      <c r="J74" s="1"/>
    </row>
    <row r="75" spans="1:10" customFormat="1" ht="18.75">
      <c r="A75" s="7">
        <f t="shared" si="1"/>
        <v>74</v>
      </c>
      <c r="B75" s="7" t="s">
        <v>164</v>
      </c>
      <c r="C75" s="7">
        <v>1</v>
      </c>
      <c r="D75" s="7" t="s">
        <v>285</v>
      </c>
      <c r="E75" s="7" t="str">
        <f>IF(D75="ストーリー", INT((COUNTIF($D$2:D75, "ストーリー")-1)/3) + 1, "NA")</f>
        <v>NA</v>
      </c>
      <c r="F75" s="7" t="s">
        <v>27</v>
      </c>
      <c r="G75" s="7"/>
      <c r="H75" s="7"/>
      <c r="I75" s="8" t="s">
        <v>19</v>
      </c>
      <c r="J75" s="1"/>
    </row>
    <row r="76" spans="1:10" customFormat="1" ht="18.75">
      <c r="A76" s="7">
        <f t="shared" si="1"/>
        <v>75</v>
      </c>
      <c r="B76" s="7" t="s">
        <v>164</v>
      </c>
      <c r="C76" s="7">
        <v>1</v>
      </c>
      <c r="D76" s="7" t="s">
        <v>285</v>
      </c>
      <c r="E76" s="7" t="str">
        <f>IF(D76="ストーリー", INT((COUNTIF($D$2:D76, "ストーリー")-1)/3) + 1, "NA")</f>
        <v>NA</v>
      </c>
      <c r="F76" s="7" t="s">
        <v>28</v>
      </c>
      <c r="G76" s="7"/>
      <c r="H76" s="7"/>
      <c r="I76" s="8" t="s">
        <v>19</v>
      </c>
      <c r="J76" s="1"/>
    </row>
    <row r="77" spans="1:10" customFormat="1" ht="18.75">
      <c r="A77" s="7">
        <f t="shared" si="1"/>
        <v>76</v>
      </c>
      <c r="B77" s="7" t="s">
        <v>164</v>
      </c>
      <c r="C77" s="7">
        <v>1</v>
      </c>
      <c r="D77" s="7" t="s">
        <v>285</v>
      </c>
      <c r="E77" s="7" t="str">
        <f>IF(D77="ストーリー", INT((COUNTIF($D$2:D77, "ストーリー")-1)/3) + 1, "NA")</f>
        <v>NA</v>
      </c>
      <c r="F77" s="7" t="s">
        <v>29</v>
      </c>
      <c r="G77" s="7"/>
      <c r="H77" s="7"/>
      <c r="I77" s="8" t="s">
        <v>19</v>
      </c>
      <c r="J77" s="1"/>
    </row>
    <row r="78" spans="1:10" customFormat="1" ht="18.75">
      <c r="A78" s="7">
        <f t="shared" si="1"/>
        <v>77</v>
      </c>
      <c r="B78" s="7" t="s">
        <v>164</v>
      </c>
      <c r="C78" s="7">
        <v>1</v>
      </c>
      <c r="D78" s="7" t="s">
        <v>285</v>
      </c>
      <c r="E78" s="7" t="str">
        <f>IF(D78="ストーリー", INT((COUNTIF($D$2:D78, "ストーリー")-1)/3) + 1, "NA")</f>
        <v>NA</v>
      </c>
      <c r="F78" s="7" t="s">
        <v>30</v>
      </c>
      <c r="G78" s="7"/>
      <c r="H78" s="7"/>
      <c r="I78" s="8" t="s">
        <v>19</v>
      </c>
      <c r="J78" s="1"/>
    </row>
    <row r="79" spans="1:10" ht="63" hidden="1">
      <c r="A79" s="7">
        <f t="shared" si="1"/>
        <v>78</v>
      </c>
      <c r="B79" s="7">
        <v>2023</v>
      </c>
      <c r="C79" s="7">
        <v>5</v>
      </c>
      <c r="D79" s="7" t="s">
        <v>290</v>
      </c>
      <c r="E79" s="7" t="str">
        <f>IF(D79="ストーリー", INT((COUNTIF($D$2:D79, "ストーリー")-1)/3) + 1, "NA")</f>
        <v>NA</v>
      </c>
      <c r="F79" s="7" t="s">
        <v>305</v>
      </c>
      <c r="G79" s="9" t="s">
        <v>291</v>
      </c>
      <c r="H79" s="9">
        <v>2</v>
      </c>
      <c r="I79" s="7" t="s">
        <v>432</v>
      </c>
      <c r="J79" s="4"/>
    </row>
    <row r="80" spans="1:10" ht="63" hidden="1">
      <c r="A80" s="7">
        <f t="shared" ref="A80:A143" si="2">ROW()-1</f>
        <v>79</v>
      </c>
      <c r="B80" s="7">
        <v>2023</v>
      </c>
      <c r="C80" s="7">
        <v>5</v>
      </c>
      <c r="D80" s="7" t="s">
        <v>290</v>
      </c>
      <c r="E80" s="7" t="str">
        <f>IF(D80="ストーリー", INT((COUNTIF($D$2:D80, "ストーリー")-1)/3) + 1, "NA")</f>
        <v>NA</v>
      </c>
      <c r="F80" s="7" t="s">
        <v>305</v>
      </c>
      <c r="G80" s="9" t="s">
        <v>293</v>
      </c>
      <c r="H80" s="7">
        <v>1</v>
      </c>
      <c r="I80" s="7" t="s">
        <v>432</v>
      </c>
      <c r="J80" s="4"/>
    </row>
    <row r="81" spans="1:10" ht="63" hidden="1">
      <c r="A81" s="7">
        <f t="shared" si="2"/>
        <v>80</v>
      </c>
      <c r="B81" s="7">
        <v>2023</v>
      </c>
      <c r="C81" s="7">
        <v>5</v>
      </c>
      <c r="D81" s="7" t="s">
        <v>290</v>
      </c>
      <c r="E81" s="7" t="str">
        <f>IF(D81="ストーリー", INT((COUNTIF($D$2:D81, "ストーリー")-1)/3) + 1, "NA")</f>
        <v>NA</v>
      </c>
      <c r="F81" s="7" t="s">
        <v>305</v>
      </c>
      <c r="G81" s="9" t="s">
        <v>294</v>
      </c>
      <c r="H81" s="7">
        <v>3</v>
      </c>
      <c r="I81" s="7" t="s">
        <v>432</v>
      </c>
      <c r="J81" s="4"/>
    </row>
    <row r="82" spans="1:10" ht="63" hidden="1">
      <c r="A82" s="7">
        <f t="shared" si="2"/>
        <v>81</v>
      </c>
      <c r="B82" s="7">
        <v>2023</v>
      </c>
      <c r="C82" s="7">
        <v>5</v>
      </c>
      <c r="D82" s="7" t="s">
        <v>290</v>
      </c>
      <c r="E82" s="7" t="str">
        <f>IF(D82="ストーリー", INT((COUNTIF($D$2:D82, "ストーリー")-1)/3) + 1, "NA")</f>
        <v>NA</v>
      </c>
      <c r="F82" s="7" t="s">
        <v>305</v>
      </c>
      <c r="G82" s="9" t="s">
        <v>295</v>
      </c>
      <c r="H82" s="7">
        <v>3</v>
      </c>
      <c r="I82" s="7" t="s">
        <v>432</v>
      </c>
      <c r="J82" s="4"/>
    </row>
    <row r="83" spans="1:10" ht="63" hidden="1">
      <c r="A83" s="7">
        <f t="shared" si="2"/>
        <v>82</v>
      </c>
      <c r="B83" s="7">
        <v>2023</v>
      </c>
      <c r="C83" s="7">
        <v>5</v>
      </c>
      <c r="D83" s="7" t="s">
        <v>290</v>
      </c>
      <c r="E83" s="7" t="str">
        <f>IF(D83="ストーリー", INT((COUNTIF($D$2:D83, "ストーリー")-1)/3) + 1, "NA")</f>
        <v>NA</v>
      </c>
      <c r="F83" s="7" t="s">
        <v>305</v>
      </c>
      <c r="G83" s="9" t="s">
        <v>296</v>
      </c>
      <c r="H83" s="7">
        <v>1</v>
      </c>
      <c r="I83" s="7" t="s">
        <v>432</v>
      </c>
      <c r="J83" s="4"/>
    </row>
    <row r="84" spans="1:10" ht="63" hidden="1">
      <c r="A84" s="7">
        <f t="shared" si="2"/>
        <v>83</v>
      </c>
      <c r="B84" s="7">
        <v>2023</v>
      </c>
      <c r="C84" s="7">
        <v>5</v>
      </c>
      <c r="D84" s="7" t="s">
        <v>297</v>
      </c>
      <c r="E84" s="7" t="str">
        <f>IF(D84="ストーリー", INT((COUNTIF($D$2:D84, "ストーリー")-1)/3) + 1, "NA")</f>
        <v>NA</v>
      </c>
      <c r="F84" s="7" t="s">
        <v>298</v>
      </c>
      <c r="G84" s="9" t="s">
        <v>306</v>
      </c>
      <c r="H84" s="7">
        <v>3</v>
      </c>
      <c r="I84" s="7" t="s">
        <v>432</v>
      </c>
      <c r="J84" s="7" t="s">
        <v>406</v>
      </c>
    </row>
    <row r="85" spans="1:10" ht="63" hidden="1">
      <c r="A85" s="7">
        <f t="shared" si="2"/>
        <v>84</v>
      </c>
      <c r="B85" s="7">
        <v>2023</v>
      </c>
      <c r="C85" s="7">
        <v>5</v>
      </c>
      <c r="D85" s="7" t="s">
        <v>297</v>
      </c>
      <c r="E85" s="7" t="str">
        <f>IF(D85="ストーリー", INT((COUNTIF($D$2:D85, "ストーリー")-1)/3) + 1, "NA")</f>
        <v>NA</v>
      </c>
      <c r="F85" s="7" t="s">
        <v>299</v>
      </c>
      <c r="G85" s="9" t="s">
        <v>307</v>
      </c>
      <c r="H85" s="7">
        <v>2</v>
      </c>
      <c r="I85" s="7" t="s">
        <v>432</v>
      </c>
      <c r="J85" s="7" t="s">
        <v>407</v>
      </c>
    </row>
    <row r="86" spans="1:10" ht="63" hidden="1">
      <c r="A86" s="7">
        <f t="shared" si="2"/>
        <v>85</v>
      </c>
      <c r="B86" s="7">
        <v>2023</v>
      </c>
      <c r="C86" s="7">
        <v>5</v>
      </c>
      <c r="D86" s="7" t="s">
        <v>297</v>
      </c>
      <c r="E86" s="7" t="str">
        <f>IF(D86="ストーリー", INT((COUNTIF($D$2:D86, "ストーリー")-1)/3) + 1, "NA")</f>
        <v>NA</v>
      </c>
      <c r="F86" s="7" t="s">
        <v>300</v>
      </c>
      <c r="G86" s="9" t="s">
        <v>308</v>
      </c>
      <c r="H86" s="7">
        <v>4</v>
      </c>
      <c r="I86" s="7" t="s">
        <v>432</v>
      </c>
      <c r="J86" s="7" t="s">
        <v>408</v>
      </c>
    </row>
    <row r="87" spans="1:10" ht="63" hidden="1">
      <c r="A87" s="7">
        <f t="shared" si="2"/>
        <v>86</v>
      </c>
      <c r="B87" s="7">
        <v>2023</v>
      </c>
      <c r="C87" s="7">
        <v>5</v>
      </c>
      <c r="D87" s="7" t="s">
        <v>297</v>
      </c>
      <c r="E87" s="7" t="str">
        <f>IF(D87="ストーリー", INT((COUNTIF($D$2:D87, "ストーリー")-1)/3) + 1, "NA")</f>
        <v>NA</v>
      </c>
      <c r="F87" s="7" t="s">
        <v>301</v>
      </c>
      <c r="G87" s="9" t="s">
        <v>309</v>
      </c>
      <c r="H87" s="7">
        <v>2</v>
      </c>
      <c r="I87" s="7" t="s">
        <v>432</v>
      </c>
      <c r="J87" s="7" t="s">
        <v>409</v>
      </c>
    </row>
    <row r="88" spans="1:10" ht="63" hidden="1">
      <c r="A88" s="7">
        <f t="shared" si="2"/>
        <v>87</v>
      </c>
      <c r="B88" s="7">
        <v>2023</v>
      </c>
      <c r="C88" s="7">
        <v>5</v>
      </c>
      <c r="D88" s="7" t="s">
        <v>297</v>
      </c>
      <c r="E88" s="7" t="str">
        <f>IF(D88="ストーリー", INT((COUNTIF($D$2:D88, "ストーリー")-1)/3) + 1, "NA")</f>
        <v>NA</v>
      </c>
      <c r="F88" s="7" t="s">
        <v>302</v>
      </c>
      <c r="G88" s="9" t="s">
        <v>310</v>
      </c>
      <c r="H88" s="7">
        <v>1</v>
      </c>
      <c r="I88" s="7" t="s">
        <v>432</v>
      </c>
      <c r="J88" s="7" t="s">
        <v>410</v>
      </c>
    </row>
    <row r="89" spans="1:10" ht="63" hidden="1">
      <c r="A89" s="7">
        <f t="shared" si="2"/>
        <v>88</v>
      </c>
      <c r="B89" s="7">
        <v>2023</v>
      </c>
      <c r="C89" s="7">
        <v>5</v>
      </c>
      <c r="D89" s="7" t="s">
        <v>297</v>
      </c>
      <c r="E89" s="7" t="str">
        <f>IF(D89="ストーリー", INT((COUNTIF($D$2:D89, "ストーリー")-1)/3) + 1, "NA")</f>
        <v>NA</v>
      </c>
      <c r="F89" s="7" t="s">
        <v>303</v>
      </c>
      <c r="G89" s="9" t="s">
        <v>412</v>
      </c>
      <c r="H89" s="7">
        <v>1</v>
      </c>
      <c r="I89" s="7" t="s">
        <v>432</v>
      </c>
      <c r="J89" s="7" t="s">
        <v>411</v>
      </c>
    </row>
    <row r="90" spans="1:10" ht="63" hidden="1">
      <c r="A90" s="7">
        <f t="shared" si="2"/>
        <v>89</v>
      </c>
      <c r="B90" s="7">
        <v>2023</v>
      </c>
      <c r="C90" s="7">
        <v>4</v>
      </c>
      <c r="D90" s="7" t="s">
        <v>290</v>
      </c>
      <c r="E90" s="7" t="str">
        <f>IF(D90="ストーリー", INT((COUNTIF($D$2:D90, "ストーリー")-1)/3) + 1, "NA")</f>
        <v>NA</v>
      </c>
      <c r="F90" s="7" t="s">
        <v>305</v>
      </c>
      <c r="G90" s="9" t="s">
        <v>313</v>
      </c>
      <c r="H90" s="7">
        <v>1</v>
      </c>
      <c r="I90" s="7" t="s">
        <v>432</v>
      </c>
      <c r="J90" s="4"/>
    </row>
    <row r="91" spans="1:10" ht="63" hidden="1">
      <c r="A91" s="7">
        <f t="shared" si="2"/>
        <v>90</v>
      </c>
      <c r="B91" s="7">
        <v>2023</v>
      </c>
      <c r="C91" s="7">
        <v>4</v>
      </c>
      <c r="D91" s="7" t="s">
        <v>290</v>
      </c>
      <c r="E91" s="7" t="str">
        <f>IF(D91="ストーリー", INT((COUNTIF($D$2:D91, "ストーリー")-1)/3) + 1, "NA")</f>
        <v>NA</v>
      </c>
      <c r="F91" s="7" t="s">
        <v>305</v>
      </c>
      <c r="G91" s="9" t="s">
        <v>314</v>
      </c>
      <c r="H91" s="7">
        <v>2</v>
      </c>
      <c r="I91" s="7" t="s">
        <v>432</v>
      </c>
      <c r="J91" s="4"/>
    </row>
    <row r="92" spans="1:10" ht="63" hidden="1">
      <c r="A92" s="7">
        <f t="shared" si="2"/>
        <v>91</v>
      </c>
      <c r="B92" s="7">
        <v>2023</v>
      </c>
      <c r="C92" s="7">
        <v>4</v>
      </c>
      <c r="D92" s="7" t="s">
        <v>290</v>
      </c>
      <c r="E92" s="7" t="str">
        <f>IF(D92="ストーリー", INT((COUNTIF($D$2:D92, "ストーリー")-1)/3) + 1, "NA")</f>
        <v>NA</v>
      </c>
      <c r="F92" s="7" t="s">
        <v>305</v>
      </c>
      <c r="G92" s="9" t="s">
        <v>315</v>
      </c>
      <c r="H92" s="7">
        <v>3</v>
      </c>
      <c r="I92" s="7" t="s">
        <v>432</v>
      </c>
      <c r="J92" s="4"/>
    </row>
    <row r="93" spans="1:10" ht="63" hidden="1">
      <c r="A93" s="7">
        <f t="shared" si="2"/>
        <v>92</v>
      </c>
      <c r="B93" s="7">
        <v>2023</v>
      </c>
      <c r="C93" s="7">
        <v>4</v>
      </c>
      <c r="D93" s="7" t="s">
        <v>290</v>
      </c>
      <c r="E93" s="7" t="str">
        <f>IF(D93="ストーリー", INT((COUNTIF($D$2:D93, "ストーリー")-1)/3) + 1, "NA")</f>
        <v>NA</v>
      </c>
      <c r="F93" s="7" t="s">
        <v>305</v>
      </c>
      <c r="G93" s="9" t="s">
        <v>316</v>
      </c>
      <c r="H93" s="7">
        <v>4</v>
      </c>
      <c r="I93" s="7" t="s">
        <v>432</v>
      </c>
      <c r="J93" s="4"/>
    </row>
    <row r="94" spans="1:10" ht="63" hidden="1">
      <c r="A94" s="7">
        <f t="shared" si="2"/>
        <v>93</v>
      </c>
      <c r="B94" s="7">
        <v>2023</v>
      </c>
      <c r="C94" s="7">
        <v>4</v>
      </c>
      <c r="D94" s="7" t="s">
        <v>290</v>
      </c>
      <c r="E94" s="7" t="str">
        <f>IF(D94="ストーリー", INT((COUNTIF($D$2:D94, "ストーリー")-1)/3) + 1, "NA")</f>
        <v>NA</v>
      </c>
      <c r="F94" s="7" t="s">
        <v>305</v>
      </c>
      <c r="G94" s="9" t="s">
        <v>317</v>
      </c>
      <c r="H94" s="7">
        <v>2</v>
      </c>
      <c r="I94" s="7" t="s">
        <v>432</v>
      </c>
      <c r="J94" s="4"/>
    </row>
    <row r="95" spans="1:10" ht="63" hidden="1">
      <c r="A95" s="7">
        <f t="shared" si="2"/>
        <v>94</v>
      </c>
      <c r="B95" s="7">
        <v>2023</v>
      </c>
      <c r="C95" s="7">
        <v>4</v>
      </c>
      <c r="D95" s="7" t="s">
        <v>297</v>
      </c>
      <c r="E95" s="7" t="str">
        <f>IF(D95="ストーリー", INT((COUNTIF($D$2:D95, "ストーリー")-1)/3) + 1, "NA")</f>
        <v>NA</v>
      </c>
      <c r="F95" s="7" t="s">
        <v>336</v>
      </c>
      <c r="G95" s="9" t="s">
        <v>335</v>
      </c>
      <c r="H95" s="7">
        <v>1</v>
      </c>
      <c r="I95" s="7" t="s">
        <v>432</v>
      </c>
      <c r="J95" s="7" t="s">
        <v>413</v>
      </c>
    </row>
    <row r="96" spans="1:10" ht="63" hidden="1">
      <c r="A96" s="7">
        <f t="shared" si="2"/>
        <v>95</v>
      </c>
      <c r="B96" s="7">
        <v>2023</v>
      </c>
      <c r="C96" s="7">
        <v>4</v>
      </c>
      <c r="D96" s="7" t="s">
        <v>297</v>
      </c>
      <c r="E96" s="7" t="str">
        <f>IF(D96="ストーリー", INT((COUNTIF($D$2:D96, "ストーリー")-1)/3) + 1, "NA")</f>
        <v>NA</v>
      </c>
      <c r="F96" s="7" t="s">
        <v>318</v>
      </c>
      <c r="G96" s="9" t="s">
        <v>337</v>
      </c>
      <c r="H96" s="7">
        <v>1</v>
      </c>
      <c r="I96" s="7" t="s">
        <v>432</v>
      </c>
      <c r="J96" s="7" t="s">
        <v>414</v>
      </c>
    </row>
    <row r="97" spans="1:10" ht="63" hidden="1">
      <c r="A97" s="7">
        <f t="shared" si="2"/>
        <v>96</v>
      </c>
      <c r="B97" s="7">
        <v>2023</v>
      </c>
      <c r="C97" s="7">
        <v>4</v>
      </c>
      <c r="D97" s="7" t="s">
        <v>297</v>
      </c>
      <c r="E97" s="7" t="str">
        <f>IF(D97="ストーリー", INT((COUNTIF($D$2:D97, "ストーリー")-1)/3) + 1, "NA")</f>
        <v>NA</v>
      </c>
      <c r="F97" s="7" t="s">
        <v>319</v>
      </c>
      <c r="G97" s="9" t="s">
        <v>338</v>
      </c>
      <c r="H97" s="7">
        <v>2</v>
      </c>
      <c r="I97" s="7" t="s">
        <v>432</v>
      </c>
      <c r="J97" s="7" t="s">
        <v>415</v>
      </c>
    </row>
    <row r="98" spans="1:10" ht="63" hidden="1">
      <c r="A98" s="7">
        <f t="shared" si="2"/>
        <v>97</v>
      </c>
      <c r="B98" s="7">
        <v>2023</v>
      </c>
      <c r="C98" s="7">
        <v>4</v>
      </c>
      <c r="D98" s="7" t="s">
        <v>297</v>
      </c>
      <c r="E98" s="7" t="str">
        <f>IF(D98="ストーリー", INT((COUNTIF($D$2:D98, "ストーリー")-1)/3) + 1, "NA")</f>
        <v>NA</v>
      </c>
      <c r="F98" s="7" t="s">
        <v>320</v>
      </c>
      <c r="G98" s="9" t="s">
        <v>339</v>
      </c>
      <c r="H98" s="7">
        <v>4</v>
      </c>
      <c r="I98" s="7" t="s">
        <v>432</v>
      </c>
      <c r="J98" s="7" t="s">
        <v>416</v>
      </c>
    </row>
    <row r="99" spans="1:10" ht="63" hidden="1">
      <c r="A99" s="7">
        <f t="shared" si="2"/>
        <v>98</v>
      </c>
      <c r="B99" s="7">
        <v>2023</v>
      </c>
      <c r="C99" s="7">
        <v>4</v>
      </c>
      <c r="D99" s="7" t="s">
        <v>297</v>
      </c>
      <c r="E99" s="7" t="str">
        <f>IF(D99="ストーリー", INT((COUNTIF($D$2:D99, "ストーリー")-1)/3) + 1, "NA")</f>
        <v>NA</v>
      </c>
      <c r="F99" s="7" t="s">
        <v>321</v>
      </c>
      <c r="G99" s="9" t="s">
        <v>340</v>
      </c>
      <c r="H99" s="7">
        <v>1</v>
      </c>
      <c r="I99" s="7" t="s">
        <v>432</v>
      </c>
      <c r="J99" s="7" t="s">
        <v>417</v>
      </c>
    </row>
    <row r="100" spans="1:10" ht="63" hidden="1">
      <c r="A100" s="7">
        <f t="shared" si="2"/>
        <v>99</v>
      </c>
      <c r="B100" s="7">
        <v>2023</v>
      </c>
      <c r="C100" s="7">
        <v>3</v>
      </c>
      <c r="D100" s="7" t="s">
        <v>290</v>
      </c>
      <c r="E100" s="7" t="str">
        <f>IF(D100="ストーリー", INT((COUNTIF($D$2:D100, "ストーリー")-1)/3) + 1, "NA")</f>
        <v>NA</v>
      </c>
      <c r="F100" s="7" t="s">
        <v>305</v>
      </c>
      <c r="G100" s="9" t="s">
        <v>322</v>
      </c>
      <c r="H100" s="7">
        <v>1</v>
      </c>
      <c r="I100" s="7" t="s">
        <v>432</v>
      </c>
      <c r="J100" s="4"/>
    </row>
    <row r="101" spans="1:10" ht="63" hidden="1">
      <c r="A101" s="7">
        <f t="shared" si="2"/>
        <v>100</v>
      </c>
      <c r="B101" s="7">
        <v>2023</v>
      </c>
      <c r="C101" s="7">
        <v>3</v>
      </c>
      <c r="D101" s="7" t="s">
        <v>290</v>
      </c>
      <c r="E101" s="7" t="str">
        <f>IF(D101="ストーリー", INT((COUNTIF($D$2:D101, "ストーリー")-1)/3) + 1, "NA")</f>
        <v>NA</v>
      </c>
      <c r="F101" s="7" t="s">
        <v>305</v>
      </c>
      <c r="G101" s="9" t="s">
        <v>323</v>
      </c>
      <c r="H101" s="7">
        <v>4</v>
      </c>
      <c r="I101" s="7" t="s">
        <v>432</v>
      </c>
      <c r="J101" s="4"/>
    </row>
    <row r="102" spans="1:10" ht="63" hidden="1">
      <c r="A102" s="7">
        <f t="shared" si="2"/>
        <v>101</v>
      </c>
      <c r="B102" s="7">
        <v>2023</v>
      </c>
      <c r="C102" s="7">
        <v>3</v>
      </c>
      <c r="D102" s="7" t="s">
        <v>290</v>
      </c>
      <c r="E102" s="7" t="str">
        <f>IF(D102="ストーリー", INT((COUNTIF($D$2:D102, "ストーリー")-1)/3) + 1, "NA")</f>
        <v>NA</v>
      </c>
      <c r="F102" s="7" t="s">
        <v>305</v>
      </c>
      <c r="G102" s="9" t="s">
        <v>324</v>
      </c>
      <c r="H102" s="7">
        <v>2</v>
      </c>
      <c r="I102" s="7" t="s">
        <v>432</v>
      </c>
      <c r="J102" s="4"/>
    </row>
    <row r="103" spans="1:10" ht="63" hidden="1">
      <c r="A103" s="7">
        <f t="shared" si="2"/>
        <v>102</v>
      </c>
      <c r="B103" s="7">
        <v>2023</v>
      </c>
      <c r="C103" s="7">
        <v>3</v>
      </c>
      <c r="D103" s="7" t="s">
        <v>290</v>
      </c>
      <c r="E103" s="7" t="str">
        <f>IF(D103="ストーリー", INT((COUNTIF($D$2:D103, "ストーリー")-1)/3) + 1, "NA")</f>
        <v>NA</v>
      </c>
      <c r="F103" s="7" t="s">
        <v>305</v>
      </c>
      <c r="G103" s="9" t="s">
        <v>325</v>
      </c>
      <c r="H103" s="7">
        <v>4</v>
      </c>
      <c r="I103" s="7" t="s">
        <v>432</v>
      </c>
      <c r="J103" s="4"/>
    </row>
    <row r="104" spans="1:10" ht="63" hidden="1">
      <c r="A104" s="7">
        <f t="shared" si="2"/>
        <v>103</v>
      </c>
      <c r="B104" s="7">
        <v>2023</v>
      </c>
      <c r="C104" s="7">
        <v>3</v>
      </c>
      <c r="D104" s="7" t="s">
        <v>290</v>
      </c>
      <c r="E104" s="7" t="str">
        <f>IF(D104="ストーリー", INT((COUNTIF($D$2:D104, "ストーリー")-1)/3) + 1, "NA")</f>
        <v>NA</v>
      </c>
      <c r="F104" s="7" t="s">
        <v>305</v>
      </c>
      <c r="G104" s="9" t="s">
        <v>326</v>
      </c>
      <c r="H104" s="7">
        <v>2</v>
      </c>
      <c r="I104" s="7" t="s">
        <v>432</v>
      </c>
      <c r="J104" s="4"/>
    </row>
    <row r="105" spans="1:10" ht="63" hidden="1">
      <c r="A105" s="7">
        <f t="shared" si="2"/>
        <v>104</v>
      </c>
      <c r="B105" s="7">
        <v>2023</v>
      </c>
      <c r="C105" s="7">
        <v>3</v>
      </c>
      <c r="D105" s="7" t="s">
        <v>297</v>
      </c>
      <c r="E105" s="7" t="str">
        <f>IF(D105="ストーリー", INT((COUNTIF($D$2:D105, "ストーリー")-1)/3) + 1, "NA")</f>
        <v>NA</v>
      </c>
      <c r="F105" s="7" t="s">
        <v>341</v>
      </c>
      <c r="G105" s="9" t="s">
        <v>346</v>
      </c>
      <c r="H105" s="7">
        <v>3</v>
      </c>
      <c r="I105" s="7" t="s">
        <v>432</v>
      </c>
      <c r="J105" s="7" t="s">
        <v>418</v>
      </c>
    </row>
    <row r="106" spans="1:10" ht="63" hidden="1">
      <c r="A106" s="7">
        <f t="shared" si="2"/>
        <v>105</v>
      </c>
      <c r="B106" s="7">
        <v>2023</v>
      </c>
      <c r="C106" s="7">
        <v>3</v>
      </c>
      <c r="D106" s="7" t="s">
        <v>297</v>
      </c>
      <c r="E106" s="7" t="str">
        <f>IF(D106="ストーリー", INT((COUNTIF($D$2:D106, "ストーリー")-1)/3) + 1, "NA")</f>
        <v>NA</v>
      </c>
      <c r="F106" s="7" t="s">
        <v>342</v>
      </c>
      <c r="G106" s="9" t="s">
        <v>347</v>
      </c>
      <c r="H106" s="7">
        <v>3</v>
      </c>
      <c r="I106" s="7" t="s">
        <v>432</v>
      </c>
      <c r="J106" s="7" t="s">
        <v>419</v>
      </c>
    </row>
    <row r="107" spans="1:10" ht="63" hidden="1">
      <c r="A107" s="7">
        <f t="shared" si="2"/>
        <v>106</v>
      </c>
      <c r="B107" s="7">
        <v>2023</v>
      </c>
      <c r="C107" s="7">
        <v>3</v>
      </c>
      <c r="D107" s="7" t="s">
        <v>297</v>
      </c>
      <c r="E107" s="7" t="str">
        <f>IF(D107="ストーリー", INT((COUNTIF($D$2:D107, "ストーリー")-1)/3) + 1, "NA")</f>
        <v>NA</v>
      </c>
      <c r="F107" s="7" t="s">
        <v>343</v>
      </c>
      <c r="G107" s="9" t="s">
        <v>348</v>
      </c>
      <c r="H107" s="7">
        <v>2</v>
      </c>
      <c r="I107" s="7" t="s">
        <v>432</v>
      </c>
      <c r="J107" s="7" t="s">
        <v>421</v>
      </c>
    </row>
    <row r="108" spans="1:10" ht="63" hidden="1">
      <c r="A108" s="7">
        <f t="shared" si="2"/>
        <v>107</v>
      </c>
      <c r="B108" s="7">
        <v>2023</v>
      </c>
      <c r="C108" s="7">
        <v>3</v>
      </c>
      <c r="D108" s="7" t="s">
        <v>297</v>
      </c>
      <c r="E108" s="7" t="str">
        <f>IF(D108="ストーリー", INT((COUNTIF($D$2:D108, "ストーリー")-1)/3) + 1, "NA")</f>
        <v>NA</v>
      </c>
      <c r="F108" s="7" t="s">
        <v>344</v>
      </c>
      <c r="G108" s="9" t="s">
        <v>349</v>
      </c>
      <c r="H108" s="7">
        <v>3</v>
      </c>
      <c r="I108" s="7" t="s">
        <v>432</v>
      </c>
      <c r="J108" s="7" t="s">
        <v>420</v>
      </c>
    </row>
    <row r="109" spans="1:10" ht="63" hidden="1">
      <c r="A109" s="7">
        <f t="shared" si="2"/>
        <v>108</v>
      </c>
      <c r="B109" s="7">
        <v>2023</v>
      </c>
      <c r="C109" s="7">
        <v>3</v>
      </c>
      <c r="D109" s="7" t="s">
        <v>297</v>
      </c>
      <c r="E109" s="7" t="str">
        <f>IF(D109="ストーリー", INT((COUNTIF($D$2:D109, "ストーリー")-1)/3) + 1, "NA")</f>
        <v>NA</v>
      </c>
      <c r="F109" s="7" t="s">
        <v>345</v>
      </c>
      <c r="G109" s="9" t="s">
        <v>350</v>
      </c>
      <c r="H109" s="7">
        <v>1</v>
      </c>
      <c r="I109" s="7" t="s">
        <v>432</v>
      </c>
      <c r="J109" s="7" t="s">
        <v>420</v>
      </c>
    </row>
    <row r="110" spans="1:10" ht="63" hidden="1">
      <c r="A110" s="7">
        <f t="shared" si="2"/>
        <v>109</v>
      </c>
      <c r="B110" s="7">
        <v>2023</v>
      </c>
      <c r="C110" s="7">
        <v>2</v>
      </c>
      <c r="D110" s="7" t="s">
        <v>290</v>
      </c>
      <c r="E110" s="7" t="str">
        <f>IF(D110="ストーリー", INT((COUNTIF($D$2:D110, "ストーリー")-1)/3) + 1, "NA")</f>
        <v>NA</v>
      </c>
      <c r="F110" s="7" t="s">
        <v>305</v>
      </c>
      <c r="G110" s="9" t="s">
        <v>327</v>
      </c>
      <c r="H110" s="7">
        <v>2</v>
      </c>
      <c r="I110" s="7" t="s">
        <v>432</v>
      </c>
      <c r="J110" s="4"/>
    </row>
    <row r="111" spans="1:10" ht="63" hidden="1">
      <c r="A111" s="7">
        <f t="shared" si="2"/>
        <v>110</v>
      </c>
      <c r="B111" s="7">
        <v>2023</v>
      </c>
      <c r="C111" s="7">
        <v>2</v>
      </c>
      <c r="D111" s="7" t="s">
        <v>290</v>
      </c>
      <c r="E111" s="7" t="str">
        <f>IF(D111="ストーリー", INT((COUNTIF($D$2:D111, "ストーリー")-1)/3) + 1, "NA")</f>
        <v>NA</v>
      </c>
      <c r="F111" s="7" t="s">
        <v>305</v>
      </c>
      <c r="G111" s="9" t="s">
        <v>328</v>
      </c>
      <c r="H111" s="7">
        <v>1</v>
      </c>
      <c r="I111" s="7" t="s">
        <v>432</v>
      </c>
      <c r="J111" s="4"/>
    </row>
    <row r="112" spans="1:10" ht="63" hidden="1">
      <c r="A112" s="7">
        <f t="shared" si="2"/>
        <v>111</v>
      </c>
      <c r="B112" s="7">
        <v>2023</v>
      </c>
      <c r="C112" s="7">
        <v>2</v>
      </c>
      <c r="D112" s="7" t="s">
        <v>290</v>
      </c>
      <c r="E112" s="7" t="str">
        <f>IF(D112="ストーリー", INT((COUNTIF($D$2:D112, "ストーリー")-1)/3) + 1, "NA")</f>
        <v>NA</v>
      </c>
      <c r="F112" s="7" t="s">
        <v>305</v>
      </c>
      <c r="G112" s="9" t="s">
        <v>329</v>
      </c>
      <c r="H112" s="7">
        <v>3</v>
      </c>
      <c r="I112" s="7" t="s">
        <v>432</v>
      </c>
      <c r="J112" s="4"/>
    </row>
    <row r="113" spans="1:10" ht="63" hidden="1">
      <c r="A113" s="7">
        <f t="shared" si="2"/>
        <v>112</v>
      </c>
      <c r="B113" s="7">
        <v>2023</v>
      </c>
      <c r="C113" s="7">
        <v>2</v>
      </c>
      <c r="D113" s="7" t="s">
        <v>290</v>
      </c>
      <c r="E113" s="7" t="str">
        <f>IF(D113="ストーリー", INT((COUNTIF($D$2:D113, "ストーリー")-1)/3) + 1, "NA")</f>
        <v>NA</v>
      </c>
      <c r="F113" s="7" t="s">
        <v>305</v>
      </c>
      <c r="G113" s="9" t="s">
        <v>330</v>
      </c>
      <c r="H113" s="7">
        <v>4</v>
      </c>
      <c r="I113" s="7" t="s">
        <v>432</v>
      </c>
      <c r="J113" s="4"/>
    </row>
    <row r="114" spans="1:10" ht="63" hidden="1">
      <c r="A114" s="7">
        <f t="shared" si="2"/>
        <v>113</v>
      </c>
      <c r="B114" s="7">
        <v>2023</v>
      </c>
      <c r="C114" s="7">
        <v>2</v>
      </c>
      <c r="D114" s="7" t="s">
        <v>311</v>
      </c>
      <c r="E114" s="7">
        <f>IF(D114="ストーリー", INT((COUNTIF($D$2:D114, "ストーリー")-1)/3) + 1, "NA")</f>
        <v>1</v>
      </c>
      <c r="F114" s="9" t="s">
        <v>351</v>
      </c>
      <c r="G114" s="9" t="s">
        <v>361</v>
      </c>
      <c r="H114" s="7">
        <v>1</v>
      </c>
      <c r="I114" s="7" t="s">
        <v>432</v>
      </c>
      <c r="J114" s="4" t="s">
        <v>422</v>
      </c>
    </row>
    <row r="115" spans="1:10" ht="63" hidden="1">
      <c r="A115" s="7">
        <f t="shared" si="2"/>
        <v>114</v>
      </c>
      <c r="B115" s="7">
        <v>2023</v>
      </c>
      <c r="C115" s="7">
        <v>2</v>
      </c>
      <c r="D115" s="7" t="s">
        <v>311</v>
      </c>
      <c r="E115" s="7">
        <f>IF(D115="ストーリー", INT((COUNTIF($D$2:D115, "ストーリー")-1)/3) + 1, "NA")</f>
        <v>1</v>
      </c>
      <c r="F115" s="9" t="s">
        <v>353</v>
      </c>
      <c r="G115" s="9" t="s">
        <v>362</v>
      </c>
      <c r="H115" s="7">
        <v>2</v>
      </c>
      <c r="I115" s="7" t="s">
        <v>432</v>
      </c>
      <c r="J115" s="4" t="s">
        <v>422</v>
      </c>
    </row>
    <row r="116" spans="1:10" ht="63" hidden="1">
      <c r="A116" s="7">
        <f t="shared" si="2"/>
        <v>115</v>
      </c>
      <c r="B116" s="7">
        <v>2023</v>
      </c>
      <c r="C116" s="7">
        <v>2</v>
      </c>
      <c r="D116" s="7" t="s">
        <v>311</v>
      </c>
      <c r="E116" s="7">
        <f>IF(D116="ストーリー", INT((COUNTIF($D$2:D116, "ストーリー")-1)/3) + 1, "NA")</f>
        <v>1</v>
      </c>
      <c r="F116" s="7" t="s">
        <v>354</v>
      </c>
      <c r="G116" s="9" t="s">
        <v>363</v>
      </c>
      <c r="H116" s="7">
        <v>2</v>
      </c>
      <c r="I116" s="7" t="s">
        <v>432</v>
      </c>
      <c r="J116" s="4" t="s">
        <v>422</v>
      </c>
    </row>
    <row r="117" spans="1:10" ht="63" hidden="1">
      <c r="A117" s="7">
        <f t="shared" si="2"/>
        <v>116</v>
      </c>
      <c r="B117" s="7">
        <v>2023</v>
      </c>
      <c r="C117" s="7">
        <v>2</v>
      </c>
      <c r="D117" s="7" t="s">
        <v>311</v>
      </c>
      <c r="E117" s="7">
        <f>IF(D117="ストーリー", INT((COUNTIF($D$2:D117, "ストーリー")-1)/3) + 1, "NA")</f>
        <v>2</v>
      </c>
      <c r="F117" s="7" t="s">
        <v>355</v>
      </c>
      <c r="G117" s="9" t="s">
        <v>364</v>
      </c>
      <c r="H117" s="7">
        <v>1</v>
      </c>
      <c r="I117" s="7" t="s">
        <v>432</v>
      </c>
      <c r="J117" s="4" t="s">
        <v>423</v>
      </c>
    </row>
    <row r="118" spans="1:10" ht="63" hidden="1">
      <c r="A118" s="7">
        <f t="shared" si="2"/>
        <v>117</v>
      </c>
      <c r="B118" s="7">
        <v>2023</v>
      </c>
      <c r="C118" s="7">
        <v>2</v>
      </c>
      <c r="D118" s="7" t="s">
        <v>311</v>
      </c>
      <c r="E118" s="7">
        <f>IF(D118="ストーリー", INT((COUNTIF($D$2:D118, "ストーリー")-1)/3) + 1, "NA")</f>
        <v>2</v>
      </c>
      <c r="F118" s="7" t="s">
        <v>356</v>
      </c>
      <c r="G118" s="9" t="s">
        <v>365</v>
      </c>
      <c r="H118" s="7">
        <v>3</v>
      </c>
      <c r="I118" s="7" t="s">
        <v>432</v>
      </c>
      <c r="J118" s="4" t="s">
        <v>423</v>
      </c>
    </row>
    <row r="119" spans="1:10" ht="63" hidden="1">
      <c r="A119" s="7">
        <f t="shared" si="2"/>
        <v>118</v>
      </c>
      <c r="B119" s="7">
        <v>2023</v>
      </c>
      <c r="C119" s="7">
        <v>2</v>
      </c>
      <c r="D119" s="7" t="s">
        <v>311</v>
      </c>
      <c r="E119" s="7">
        <f>IF(D119="ストーリー", INT((COUNTIF($D$2:D119, "ストーリー")-1)/3) + 1, "NA")</f>
        <v>2</v>
      </c>
      <c r="F119" s="7" t="s">
        <v>357</v>
      </c>
      <c r="G119" s="9" t="s">
        <v>366</v>
      </c>
      <c r="H119" s="7">
        <v>4</v>
      </c>
      <c r="I119" s="7" t="s">
        <v>432</v>
      </c>
      <c r="J119" s="4" t="s">
        <v>423</v>
      </c>
    </row>
    <row r="120" spans="1:10" ht="63" hidden="1">
      <c r="A120" s="7">
        <f t="shared" si="2"/>
        <v>119</v>
      </c>
      <c r="B120" s="7">
        <v>2023</v>
      </c>
      <c r="C120" s="7">
        <v>2</v>
      </c>
      <c r="D120" s="7" t="s">
        <v>311</v>
      </c>
      <c r="E120" s="7">
        <f>IF(D120="ストーリー", INT((COUNTIF($D$2:D120, "ストーリー")-1)/3) + 1, "NA")</f>
        <v>3</v>
      </c>
      <c r="F120" s="7" t="s">
        <v>358</v>
      </c>
      <c r="G120" s="9" t="s">
        <v>367</v>
      </c>
      <c r="H120" s="7">
        <v>3</v>
      </c>
      <c r="I120" s="7" t="s">
        <v>432</v>
      </c>
      <c r="J120" s="4" t="s">
        <v>424</v>
      </c>
    </row>
    <row r="121" spans="1:10" ht="63" hidden="1">
      <c r="A121" s="7">
        <f t="shared" si="2"/>
        <v>120</v>
      </c>
      <c r="B121" s="7">
        <v>2023</v>
      </c>
      <c r="C121" s="7">
        <v>2</v>
      </c>
      <c r="D121" s="7" t="s">
        <v>311</v>
      </c>
      <c r="E121" s="7">
        <f>IF(D121="ストーリー", INT((COUNTIF($D$2:D121, "ストーリー")-1)/3) + 1, "NA")</f>
        <v>3</v>
      </c>
      <c r="F121" s="7" t="s">
        <v>359</v>
      </c>
      <c r="G121" s="9" t="s">
        <v>368</v>
      </c>
      <c r="H121" s="7">
        <v>4</v>
      </c>
      <c r="I121" s="7" t="s">
        <v>432</v>
      </c>
      <c r="J121" s="4" t="s">
        <v>424</v>
      </c>
    </row>
    <row r="122" spans="1:10" ht="63" hidden="1">
      <c r="A122" s="7">
        <f t="shared" si="2"/>
        <v>121</v>
      </c>
      <c r="B122" s="7">
        <v>2023</v>
      </c>
      <c r="C122" s="7">
        <v>2</v>
      </c>
      <c r="D122" s="7" t="s">
        <v>311</v>
      </c>
      <c r="E122" s="7">
        <f>IF(D122="ストーリー", INT((COUNTIF($D$2:D122, "ストーリー")-1)/3) + 1, "NA")</f>
        <v>3</v>
      </c>
      <c r="F122" s="7" t="s">
        <v>360</v>
      </c>
      <c r="G122" s="9" t="s">
        <v>369</v>
      </c>
      <c r="H122" s="7">
        <v>3</v>
      </c>
      <c r="I122" s="7" t="s">
        <v>432</v>
      </c>
      <c r="J122" s="4" t="s">
        <v>424</v>
      </c>
    </row>
    <row r="123" spans="1:10" ht="63" hidden="1">
      <c r="A123" s="7">
        <f t="shared" si="2"/>
        <v>122</v>
      </c>
      <c r="B123" s="7">
        <v>2023</v>
      </c>
      <c r="C123" s="7" t="s">
        <v>312</v>
      </c>
      <c r="D123" s="7" t="s">
        <v>290</v>
      </c>
      <c r="E123" s="7" t="str">
        <f>IF(D123="ストーリー", INT((COUNTIF($D$2:D123, "ストーリー")-1)/3) + 1, "NA")</f>
        <v>NA</v>
      </c>
      <c r="F123" s="7" t="s">
        <v>305</v>
      </c>
      <c r="G123" s="9" t="s">
        <v>332</v>
      </c>
      <c r="H123" s="7">
        <v>2</v>
      </c>
      <c r="I123" s="7" t="s">
        <v>432</v>
      </c>
      <c r="J123" s="4"/>
    </row>
    <row r="124" spans="1:10" ht="63" hidden="1">
      <c r="A124" s="7">
        <f t="shared" si="2"/>
        <v>123</v>
      </c>
      <c r="B124" s="7">
        <v>2023</v>
      </c>
      <c r="C124" s="7" t="s">
        <v>312</v>
      </c>
      <c r="D124" s="7" t="s">
        <v>290</v>
      </c>
      <c r="E124" s="7" t="str">
        <f>IF(D124="ストーリー", INT((COUNTIF($D$2:D124, "ストーリー")-1)/3) + 1, "NA")</f>
        <v>NA</v>
      </c>
      <c r="F124" s="7" t="s">
        <v>305</v>
      </c>
      <c r="G124" s="9" t="s">
        <v>331</v>
      </c>
      <c r="H124" s="7">
        <v>1</v>
      </c>
      <c r="I124" s="7" t="s">
        <v>432</v>
      </c>
      <c r="J124" s="4"/>
    </row>
    <row r="125" spans="1:10" ht="63" hidden="1">
      <c r="A125" s="7">
        <f t="shared" si="2"/>
        <v>124</v>
      </c>
      <c r="B125" s="7">
        <v>2023</v>
      </c>
      <c r="C125" s="7" t="s">
        <v>312</v>
      </c>
      <c r="D125" s="7" t="s">
        <v>290</v>
      </c>
      <c r="E125" s="7" t="str">
        <f>IF(D125="ストーリー", INT((COUNTIF($D$2:D125, "ストーリー")-1)/3) + 1, "NA")</f>
        <v>NA</v>
      </c>
      <c r="F125" s="7" t="s">
        <v>305</v>
      </c>
      <c r="G125" s="9" t="s">
        <v>334</v>
      </c>
      <c r="H125" s="7">
        <v>4</v>
      </c>
      <c r="I125" s="7" t="s">
        <v>432</v>
      </c>
      <c r="J125" s="4"/>
    </row>
    <row r="126" spans="1:10" ht="63" hidden="1">
      <c r="A126" s="7">
        <f t="shared" si="2"/>
        <v>125</v>
      </c>
      <c r="B126" s="7">
        <v>2023</v>
      </c>
      <c r="C126" s="7" t="s">
        <v>312</v>
      </c>
      <c r="D126" s="7" t="s">
        <v>290</v>
      </c>
      <c r="E126" s="7" t="str">
        <f>IF(D126="ストーリー", INT((COUNTIF($D$2:D126, "ストーリー")-1)/3) + 1, "NA")</f>
        <v>NA</v>
      </c>
      <c r="F126" s="7" t="s">
        <v>305</v>
      </c>
      <c r="G126" s="9" t="s">
        <v>333</v>
      </c>
      <c r="H126" s="7">
        <v>4</v>
      </c>
      <c r="I126" s="7" t="s">
        <v>432</v>
      </c>
      <c r="J126" s="4"/>
    </row>
    <row r="127" spans="1:10" ht="63" hidden="1">
      <c r="A127" s="7">
        <f t="shared" si="2"/>
        <v>126</v>
      </c>
      <c r="B127" s="7">
        <v>2023</v>
      </c>
      <c r="C127" s="7" t="s">
        <v>312</v>
      </c>
      <c r="D127" s="7" t="s">
        <v>311</v>
      </c>
      <c r="E127" s="7">
        <f>IF(D127="ストーリー", INT((COUNTIF($D$2:D127, "ストーリー")-1)/3) + 1, "NA")</f>
        <v>4</v>
      </c>
      <c r="F127" s="7" t="s">
        <v>370</v>
      </c>
      <c r="G127" s="9" t="s">
        <v>378</v>
      </c>
      <c r="H127" s="7">
        <v>2</v>
      </c>
      <c r="I127" s="7" t="s">
        <v>432</v>
      </c>
      <c r="J127" s="4" t="s">
        <v>426</v>
      </c>
    </row>
    <row r="128" spans="1:10" ht="63" hidden="1">
      <c r="A128" s="7">
        <f t="shared" si="2"/>
        <v>127</v>
      </c>
      <c r="B128" s="7">
        <v>2023</v>
      </c>
      <c r="C128" s="7" t="s">
        <v>312</v>
      </c>
      <c r="D128" s="7" t="s">
        <v>311</v>
      </c>
      <c r="E128" s="7">
        <f>IF(D128="ストーリー", INT((COUNTIF($D$2:D128, "ストーリー")-1)/3) + 1, "NA")</f>
        <v>4</v>
      </c>
      <c r="F128" s="7" t="s">
        <v>371</v>
      </c>
      <c r="G128" s="9" t="s">
        <v>379</v>
      </c>
      <c r="H128" s="7">
        <v>4</v>
      </c>
      <c r="I128" s="7" t="s">
        <v>432</v>
      </c>
      <c r="J128" s="4" t="s">
        <v>426</v>
      </c>
    </row>
    <row r="129" spans="1:10" ht="63" hidden="1">
      <c r="A129" s="7">
        <f t="shared" si="2"/>
        <v>128</v>
      </c>
      <c r="B129" s="7">
        <v>2023</v>
      </c>
      <c r="C129" s="7" t="s">
        <v>312</v>
      </c>
      <c r="D129" s="7" t="s">
        <v>311</v>
      </c>
      <c r="E129" s="7">
        <f>IF(D129="ストーリー", INT((COUNTIF($D$2:D129, "ストーリー")-1)/3) + 1, "NA")</f>
        <v>4</v>
      </c>
      <c r="F129" s="7" t="s">
        <v>372</v>
      </c>
      <c r="G129" s="9" t="s">
        <v>380</v>
      </c>
      <c r="H129" s="7">
        <v>2</v>
      </c>
      <c r="I129" s="7" t="s">
        <v>432</v>
      </c>
      <c r="J129" s="4" t="s">
        <v>426</v>
      </c>
    </row>
    <row r="130" spans="1:10" ht="63" hidden="1">
      <c r="A130" s="7">
        <f t="shared" si="2"/>
        <v>129</v>
      </c>
      <c r="B130" s="7">
        <v>2023</v>
      </c>
      <c r="C130" s="7" t="s">
        <v>312</v>
      </c>
      <c r="D130" s="7" t="s">
        <v>311</v>
      </c>
      <c r="E130" s="7">
        <f>IF(D130="ストーリー", INT((COUNTIF($D$2:D130, "ストーリー")-1)/3) + 1, "NA")</f>
        <v>5</v>
      </c>
      <c r="F130" s="7" t="s">
        <v>373</v>
      </c>
      <c r="G130" s="9" t="s">
        <v>381</v>
      </c>
      <c r="H130" s="7">
        <v>3</v>
      </c>
      <c r="I130" s="7" t="s">
        <v>432</v>
      </c>
      <c r="J130" s="4" t="s">
        <v>427</v>
      </c>
    </row>
    <row r="131" spans="1:10" ht="63" hidden="1">
      <c r="A131" s="7">
        <f t="shared" si="2"/>
        <v>130</v>
      </c>
      <c r="B131" s="7">
        <v>2023</v>
      </c>
      <c r="C131" s="7" t="s">
        <v>312</v>
      </c>
      <c r="D131" s="7" t="s">
        <v>311</v>
      </c>
      <c r="E131" s="7">
        <f>IF(D131="ストーリー", INT((COUNTIF($D$2:D131, "ストーリー")-1)/3) + 1, "NA")</f>
        <v>5</v>
      </c>
      <c r="F131" s="7" t="s">
        <v>374</v>
      </c>
      <c r="G131" s="9" t="s">
        <v>382</v>
      </c>
      <c r="H131" s="7">
        <v>1</v>
      </c>
      <c r="I131" s="7" t="s">
        <v>432</v>
      </c>
      <c r="J131" s="4" t="s">
        <v>427</v>
      </c>
    </row>
    <row r="132" spans="1:10" ht="63" hidden="1">
      <c r="A132" s="7">
        <f t="shared" si="2"/>
        <v>131</v>
      </c>
      <c r="B132" s="7">
        <v>2023</v>
      </c>
      <c r="C132" s="7" t="s">
        <v>312</v>
      </c>
      <c r="D132" s="7" t="s">
        <v>311</v>
      </c>
      <c r="E132" s="7">
        <f>IF(D132="ストーリー", INT((COUNTIF($D$2:D132, "ストーリー")-1)/3) + 1, "NA")</f>
        <v>5</v>
      </c>
      <c r="F132" s="7" t="s">
        <v>375</v>
      </c>
      <c r="G132" s="9" t="s">
        <v>383</v>
      </c>
      <c r="H132" s="7">
        <v>3</v>
      </c>
      <c r="I132" s="7" t="s">
        <v>432</v>
      </c>
      <c r="J132" s="4" t="s">
        <v>427</v>
      </c>
    </row>
    <row r="133" spans="1:10" ht="63" hidden="1">
      <c r="A133" s="7">
        <f t="shared" si="2"/>
        <v>132</v>
      </c>
      <c r="B133" s="7">
        <v>2023</v>
      </c>
      <c r="C133" s="7" t="s">
        <v>312</v>
      </c>
      <c r="D133" s="7" t="s">
        <v>311</v>
      </c>
      <c r="E133" s="7">
        <f>IF(D133="ストーリー", INT((COUNTIF($D$2:D133, "ストーリー")-1)/3) + 1, "NA")</f>
        <v>6</v>
      </c>
      <c r="F133" s="7" t="s">
        <v>376</v>
      </c>
      <c r="G133" s="9" t="s">
        <v>384</v>
      </c>
      <c r="H133" s="7">
        <v>1</v>
      </c>
      <c r="I133" s="7" t="s">
        <v>432</v>
      </c>
      <c r="J133" s="4" t="s">
        <v>425</v>
      </c>
    </row>
    <row r="134" spans="1:10" ht="63" hidden="1">
      <c r="A134" s="7">
        <f t="shared" si="2"/>
        <v>133</v>
      </c>
      <c r="B134" s="7">
        <v>2023</v>
      </c>
      <c r="C134" s="7" t="s">
        <v>312</v>
      </c>
      <c r="D134" s="7" t="s">
        <v>311</v>
      </c>
      <c r="E134" s="7">
        <f>IF(D134="ストーリー", INT((COUNTIF($D$2:D134, "ストーリー")-1)/3) + 1, "NA")</f>
        <v>6</v>
      </c>
      <c r="F134" s="7" t="s">
        <v>385</v>
      </c>
      <c r="G134" s="9" t="s">
        <v>386</v>
      </c>
      <c r="H134" s="7">
        <v>3</v>
      </c>
      <c r="I134" s="7" t="s">
        <v>432</v>
      </c>
      <c r="J134" s="4" t="s">
        <v>425</v>
      </c>
    </row>
    <row r="135" spans="1:10" ht="63" hidden="1">
      <c r="A135" s="7">
        <f t="shared" si="2"/>
        <v>134</v>
      </c>
      <c r="B135" s="7">
        <v>2023</v>
      </c>
      <c r="C135" s="7" t="s">
        <v>312</v>
      </c>
      <c r="D135" s="7" t="s">
        <v>311</v>
      </c>
      <c r="E135" s="7">
        <f>IF(D135="ストーリー", INT((COUNTIF($D$2:D135, "ストーリー")-1)/3) + 1, "NA")</f>
        <v>6</v>
      </c>
      <c r="F135" s="7" t="s">
        <v>377</v>
      </c>
      <c r="G135" s="9" t="s">
        <v>387</v>
      </c>
      <c r="H135" s="7">
        <v>4</v>
      </c>
      <c r="I135" s="7" t="s">
        <v>432</v>
      </c>
      <c r="J135" s="4" t="s">
        <v>425</v>
      </c>
    </row>
    <row r="136" spans="1:10" ht="63" hidden="1">
      <c r="A136" s="7">
        <f t="shared" si="2"/>
        <v>135</v>
      </c>
      <c r="B136" s="7">
        <v>2023</v>
      </c>
      <c r="C136" s="7">
        <v>1</v>
      </c>
      <c r="D136" s="7" t="s">
        <v>311</v>
      </c>
      <c r="E136" s="7">
        <f>IF(D136="ストーリー", INT((COUNTIF($D$2:D136, "ストーリー")-1)/3) + 1, "NA")</f>
        <v>7</v>
      </c>
      <c r="F136" s="7" t="s">
        <v>388</v>
      </c>
      <c r="G136" s="9" t="s">
        <v>396</v>
      </c>
      <c r="H136" s="7">
        <v>2</v>
      </c>
      <c r="I136" s="7" t="s">
        <v>432</v>
      </c>
      <c r="J136" s="4" t="s">
        <v>428</v>
      </c>
    </row>
    <row r="137" spans="1:10" ht="63" hidden="1">
      <c r="A137" s="7">
        <f t="shared" si="2"/>
        <v>136</v>
      </c>
      <c r="B137" s="7">
        <v>2023</v>
      </c>
      <c r="C137" s="7">
        <v>1</v>
      </c>
      <c r="D137" s="7" t="s">
        <v>311</v>
      </c>
      <c r="E137" s="7">
        <f>IF(D137="ストーリー", INT((COUNTIF($D$2:D137, "ストーリー")-1)/3) + 1, "NA")</f>
        <v>7</v>
      </c>
      <c r="F137" s="7" t="s">
        <v>389</v>
      </c>
      <c r="G137" s="9" t="s">
        <v>429</v>
      </c>
      <c r="H137" s="7">
        <v>2</v>
      </c>
      <c r="I137" s="7" t="s">
        <v>432</v>
      </c>
      <c r="J137" s="4" t="s">
        <v>428</v>
      </c>
    </row>
    <row r="138" spans="1:10" ht="63" hidden="1">
      <c r="A138" s="7">
        <f t="shared" si="2"/>
        <v>137</v>
      </c>
      <c r="B138" s="7">
        <v>2023</v>
      </c>
      <c r="C138" s="7">
        <v>1</v>
      </c>
      <c r="D138" s="7" t="s">
        <v>311</v>
      </c>
      <c r="E138" s="7">
        <f>IF(D138="ストーリー", INT((COUNTIF($D$2:D138, "ストーリー")-1)/3) + 1, "NA")</f>
        <v>7</v>
      </c>
      <c r="F138" s="7" t="s">
        <v>390</v>
      </c>
      <c r="G138" s="9" t="s">
        <v>397</v>
      </c>
      <c r="H138" s="7">
        <v>3</v>
      </c>
      <c r="I138" s="7" t="s">
        <v>432</v>
      </c>
      <c r="J138" s="4" t="s">
        <v>428</v>
      </c>
    </row>
    <row r="139" spans="1:10" ht="63" hidden="1">
      <c r="A139" s="7">
        <f t="shared" si="2"/>
        <v>138</v>
      </c>
      <c r="B139" s="7">
        <v>2023</v>
      </c>
      <c r="C139" s="7">
        <v>1</v>
      </c>
      <c r="D139" s="7" t="s">
        <v>311</v>
      </c>
      <c r="E139" s="7">
        <f>IF(D139="ストーリー", INT((COUNTIF($D$2:D139, "ストーリー")-1)/3) + 1, "NA")</f>
        <v>8</v>
      </c>
      <c r="F139" s="7" t="s">
        <v>391</v>
      </c>
      <c r="G139" s="9" t="s">
        <v>398</v>
      </c>
      <c r="H139" s="7">
        <v>1</v>
      </c>
      <c r="I139" s="7" t="s">
        <v>432</v>
      </c>
      <c r="J139" s="4" t="s">
        <v>430</v>
      </c>
    </row>
    <row r="140" spans="1:10" ht="63" hidden="1">
      <c r="A140" s="7">
        <f t="shared" si="2"/>
        <v>139</v>
      </c>
      <c r="B140" s="7">
        <v>2023</v>
      </c>
      <c r="C140" s="7">
        <v>1</v>
      </c>
      <c r="D140" s="7" t="s">
        <v>311</v>
      </c>
      <c r="E140" s="7">
        <f>IF(D140="ストーリー", INT((COUNTIF($D$2:D140, "ストーリー")-1)/3) + 1, "NA")</f>
        <v>8</v>
      </c>
      <c r="F140" s="7" t="s">
        <v>392</v>
      </c>
      <c r="G140" s="9" t="s">
        <v>399</v>
      </c>
      <c r="H140" s="7">
        <v>4</v>
      </c>
      <c r="I140" s="7" t="s">
        <v>432</v>
      </c>
      <c r="J140" s="4" t="s">
        <v>430</v>
      </c>
    </row>
    <row r="141" spans="1:10" ht="63" hidden="1">
      <c r="A141" s="7">
        <f t="shared" si="2"/>
        <v>140</v>
      </c>
      <c r="B141" s="7">
        <v>2023</v>
      </c>
      <c r="C141" s="7">
        <v>1</v>
      </c>
      <c r="D141" s="7" t="s">
        <v>311</v>
      </c>
      <c r="E141" s="7">
        <f>IF(D141="ストーリー", INT((COUNTIF($D$2:D141, "ストーリー")-1)/3) + 1, "NA")</f>
        <v>8</v>
      </c>
      <c r="F141" s="7" t="s">
        <v>393</v>
      </c>
      <c r="G141" s="9" t="s">
        <v>400</v>
      </c>
      <c r="H141" s="7">
        <v>3</v>
      </c>
      <c r="I141" s="7" t="s">
        <v>432</v>
      </c>
      <c r="J141" s="4" t="s">
        <v>430</v>
      </c>
    </row>
    <row r="142" spans="1:10" ht="63" hidden="1">
      <c r="A142" s="7">
        <f t="shared" si="2"/>
        <v>141</v>
      </c>
      <c r="B142" s="7">
        <v>2023</v>
      </c>
      <c r="C142" s="7">
        <v>1</v>
      </c>
      <c r="D142" s="7" t="s">
        <v>311</v>
      </c>
      <c r="E142" s="7">
        <f>IF(D142="ストーリー", INT((COUNTIF($D$2:D142, "ストーリー")-1)/3) + 1, "NA")</f>
        <v>9</v>
      </c>
      <c r="F142" s="7" t="s">
        <v>394</v>
      </c>
      <c r="G142" s="9" t="s">
        <v>401</v>
      </c>
      <c r="H142" s="7">
        <v>3</v>
      </c>
      <c r="I142" s="7" t="s">
        <v>432</v>
      </c>
      <c r="J142" s="4" t="s">
        <v>431</v>
      </c>
    </row>
    <row r="143" spans="1:10" ht="63" hidden="1">
      <c r="A143" s="7">
        <f t="shared" si="2"/>
        <v>142</v>
      </c>
      <c r="B143" s="7">
        <v>2023</v>
      </c>
      <c r="C143" s="7">
        <v>1</v>
      </c>
      <c r="D143" s="7" t="s">
        <v>311</v>
      </c>
      <c r="E143" s="7">
        <f>IF(D143="ストーリー", INT((COUNTIF($D$2:D143, "ストーリー")-1)/3) + 1, "NA")</f>
        <v>9</v>
      </c>
      <c r="F143" s="7" t="s">
        <v>395</v>
      </c>
      <c r="G143" s="9" t="s">
        <v>402</v>
      </c>
      <c r="H143" s="7">
        <v>2</v>
      </c>
      <c r="I143" s="7" t="s">
        <v>432</v>
      </c>
      <c r="J143" s="4" t="s">
        <v>431</v>
      </c>
    </row>
    <row r="144" spans="1:10" ht="63" hidden="1">
      <c r="A144" s="7">
        <f t="shared" ref="A144" si="3">ROW()-1</f>
        <v>143</v>
      </c>
      <c r="B144" s="7">
        <v>2023</v>
      </c>
      <c r="C144" s="7">
        <v>1</v>
      </c>
      <c r="D144" s="7" t="s">
        <v>311</v>
      </c>
      <c r="E144" s="7">
        <f>IF(D144="ストーリー", INT((COUNTIF($D$2:D144, "ストーリー")-1)/3) + 1, "NA")</f>
        <v>9</v>
      </c>
      <c r="F144" s="7" t="s">
        <v>403</v>
      </c>
      <c r="G144" s="9" t="s">
        <v>404</v>
      </c>
      <c r="H144" s="7">
        <v>3</v>
      </c>
      <c r="I144" s="7" t="s">
        <v>432</v>
      </c>
      <c r="J144" s="4" t="s">
        <v>431</v>
      </c>
    </row>
  </sheetData>
  <autoFilter ref="A1:J144" xr:uid="{8B6B432B-FD1A-465A-996A-D68068EA881F}">
    <filterColumn colId="7">
      <filters blank="1"/>
    </filterColumn>
  </autoFilter>
  <phoneticPr fontId="3"/>
  <hyperlinks>
    <hyperlink ref="I12" r:id="rId1" xr:uid="{DFD40187-E81F-4C58-B5B2-76F0FC3FD553}"/>
    <hyperlink ref="I13:I24" r:id="rId2" display="https://ameblo.jp/motohiko-in-kumano-2013/entry-12823050275.html" xr:uid="{BF81306F-34FB-45F0-96FB-CE671817A109}"/>
    <hyperlink ref="I67" r:id="rId3" xr:uid="{D3AA53CB-9780-44CD-AC9B-65D1BDC574E5}"/>
    <hyperlink ref="I68:I78" r:id="rId4" display="https://ameblo.jp/motohiko-in-kumano-2013/entry-12824169617.html?frm=theme" xr:uid="{5F21F2B6-86C0-4A19-BBD5-E81E712CFA88}"/>
    <hyperlink ref="I55" r:id="rId5" xr:uid="{AF6E7269-5CF7-41BD-AC95-A1EDFD27D580}"/>
    <hyperlink ref="I56:I66" r:id="rId6" display="https://ameblo.jp/motohiko-in-kumano-2013/entry-12823828682.html?frm=theme" xr:uid="{1940E4CF-8ABF-4880-941F-13BB23A0D445}"/>
    <hyperlink ref="I41" r:id="rId7" xr:uid="{01D8A98F-7B61-47E8-BFFC-7F2FF0E9D1F8}"/>
    <hyperlink ref="I42:I54" r:id="rId8" display="https://ameblo.jp/motohiko-in-kumano-2013/entry-12823178426.html?frm=theme" xr:uid="{4BD3CBB1-9518-42CE-87FF-15850728AA0C}"/>
    <hyperlink ref="I25" r:id="rId9" xr:uid="{83C5936A-3EE9-4B94-A9AD-883A3641B023}"/>
    <hyperlink ref="I26:I40" r:id="rId10" display="https://ameblo.jp/motohiko-in-kumano-2013/entry-12823059933.html?frm=theme" xr:uid="{6BE8CF79-04DF-438E-8982-1FE9E01EA835}"/>
  </hyperlinks>
  <pageMargins left="0.7" right="0.7" top="0.75" bottom="0.75" header="0.3" footer="0.3"/>
  <pageSetup paperSize="9"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zoomScale="85" zoomScaleNormal="85" workbookViewId="0">
      <pane ySplit="1" topLeftCell="A2" activePane="bottomLeft" state="frozen"/>
      <selection pane="bottomLeft" activeCell="F3" sqref="F3"/>
    </sheetView>
  </sheetViews>
  <sheetFormatPr defaultRowHeight="15.75"/>
  <cols>
    <col min="1" max="4" width="9" style="2"/>
    <col min="5" max="5" width="82.375" style="2" customWidth="1"/>
    <col min="6" max="6" width="36.25" style="2" customWidth="1"/>
    <col min="7" max="16384" width="9" style="2"/>
  </cols>
  <sheetData>
    <row r="1" spans="1:8">
      <c r="A1" s="2" t="s">
        <v>0</v>
      </c>
      <c r="B1" s="2" t="s">
        <v>165</v>
      </c>
      <c r="C1" s="2" t="s">
        <v>1</v>
      </c>
      <c r="D1" s="2" t="s">
        <v>166</v>
      </c>
      <c r="E1" s="2" t="s">
        <v>88</v>
      </c>
      <c r="F1" s="2" t="s">
        <v>89</v>
      </c>
      <c r="G1" s="2" t="s">
        <v>168</v>
      </c>
      <c r="H1" s="2" t="s">
        <v>90</v>
      </c>
    </row>
    <row r="2" spans="1:8" ht="63">
      <c r="A2" s="2">
        <f>ROW()-1</f>
        <v>1</v>
      </c>
      <c r="B2" s="2">
        <v>2023</v>
      </c>
      <c r="C2" s="2">
        <v>2</v>
      </c>
      <c r="D2" s="2" t="s">
        <v>286</v>
      </c>
      <c r="E2" s="2" t="s">
        <v>91</v>
      </c>
      <c r="F2" s="3" t="s">
        <v>92</v>
      </c>
      <c r="G2" s="2">
        <v>2</v>
      </c>
      <c r="H2" s="2" t="s">
        <v>169</v>
      </c>
    </row>
    <row r="3" spans="1:8" ht="110.25">
      <c r="A3" s="2">
        <f t="shared" ref="A3:A34" si="0">ROW()-1</f>
        <v>2</v>
      </c>
      <c r="B3" s="2">
        <v>2023</v>
      </c>
      <c r="C3" s="2">
        <v>2</v>
      </c>
      <c r="D3" s="2" t="s">
        <v>286</v>
      </c>
      <c r="E3" s="2" t="s">
        <v>93</v>
      </c>
      <c r="F3" s="3" t="s">
        <v>94</v>
      </c>
      <c r="G3" s="2">
        <v>1</v>
      </c>
      <c r="H3" s="2" t="s">
        <v>170</v>
      </c>
    </row>
    <row r="4" spans="1:8" ht="63">
      <c r="A4" s="2">
        <f t="shared" si="0"/>
        <v>3</v>
      </c>
      <c r="B4" s="2">
        <v>2023</v>
      </c>
      <c r="C4" s="2">
        <v>2</v>
      </c>
      <c r="D4" s="2" t="s">
        <v>286</v>
      </c>
      <c r="E4" s="2" t="s">
        <v>95</v>
      </c>
      <c r="F4" s="3" t="s">
        <v>96</v>
      </c>
      <c r="G4" s="2">
        <v>4</v>
      </c>
      <c r="H4" s="2" t="s">
        <v>171</v>
      </c>
    </row>
    <row r="5" spans="1:8" ht="63">
      <c r="A5" s="2">
        <f t="shared" si="0"/>
        <v>4</v>
      </c>
      <c r="B5" s="2">
        <v>2023</v>
      </c>
      <c r="C5" s="2">
        <v>2</v>
      </c>
      <c r="D5" s="2" t="s">
        <v>286</v>
      </c>
      <c r="E5" s="2" t="s">
        <v>97</v>
      </c>
      <c r="F5" s="3" t="s">
        <v>98</v>
      </c>
      <c r="G5" s="2">
        <v>2</v>
      </c>
      <c r="H5" s="2" t="s">
        <v>172</v>
      </c>
    </row>
    <row r="6" spans="1:8" ht="63">
      <c r="A6" s="2">
        <f t="shared" si="0"/>
        <v>5</v>
      </c>
      <c r="B6" s="2">
        <v>2023</v>
      </c>
      <c r="C6" s="2">
        <v>2</v>
      </c>
      <c r="D6" s="2" t="s">
        <v>286</v>
      </c>
      <c r="E6" s="2" t="s">
        <v>99</v>
      </c>
      <c r="F6" s="3" t="s">
        <v>100</v>
      </c>
      <c r="G6" s="2">
        <v>1</v>
      </c>
      <c r="H6" s="2" t="s">
        <v>173</v>
      </c>
    </row>
    <row r="7" spans="1:8" ht="63">
      <c r="A7" s="2">
        <f t="shared" si="0"/>
        <v>6</v>
      </c>
      <c r="B7" s="2">
        <v>2023</v>
      </c>
      <c r="C7" s="2">
        <v>2</v>
      </c>
      <c r="D7" s="2" t="s">
        <v>286</v>
      </c>
      <c r="E7" s="2" t="s">
        <v>101</v>
      </c>
      <c r="F7" s="3" t="s">
        <v>102</v>
      </c>
      <c r="G7" s="2">
        <v>3</v>
      </c>
      <c r="H7" s="2" t="s">
        <v>174</v>
      </c>
    </row>
    <row r="8" spans="1:8" ht="126">
      <c r="A8" s="2">
        <f t="shared" si="0"/>
        <v>7</v>
      </c>
      <c r="B8" s="2">
        <v>2023</v>
      </c>
      <c r="C8" s="2">
        <v>2</v>
      </c>
      <c r="D8" s="2" t="s">
        <v>286</v>
      </c>
      <c r="E8" s="2" t="s">
        <v>103</v>
      </c>
      <c r="F8" s="3" t="s">
        <v>104</v>
      </c>
      <c r="G8" s="2">
        <v>3</v>
      </c>
      <c r="H8" s="2" t="s">
        <v>175</v>
      </c>
    </row>
    <row r="9" spans="1:8" ht="63">
      <c r="A9" s="2">
        <f t="shared" si="0"/>
        <v>8</v>
      </c>
      <c r="B9" s="2">
        <v>2023</v>
      </c>
      <c r="C9" s="2">
        <v>2</v>
      </c>
      <c r="D9" s="2" t="s">
        <v>286</v>
      </c>
      <c r="E9" s="2" t="s">
        <v>105</v>
      </c>
      <c r="F9" s="3" t="s">
        <v>106</v>
      </c>
      <c r="G9" s="2">
        <v>3</v>
      </c>
      <c r="H9" s="2" t="s">
        <v>176</v>
      </c>
    </row>
    <row r="10" spans="1:8" ht="78.75">
      <c r="A10" s="2">
        <f t="shared" si="0"/>
        <v>9</v>
      </c>
      <c r="B10" s="2">
        <v>2023</v>
      </c>
      <c r="C10" s="2">
        <v>2</v>
      </c>
      <c r="D10" s="2" t="s">
        <v>286</v>
      </c>
      <c r="E10" s="2" t="s">
        <v>107</v>
      </c>
      <c r="F10" s="3" t="s">
        <v>108</v>
      </c>
      <c r="G10" s="2">
        <v>4</v>
      </c>
      <c r="H10" s="2" t="s">
        <v>177</v>
      </c>
    </row>
    <row r="11" spans="1:8" ht="63">
      <c r="A11" s="2">
        <f t="shared" si="0"/>
        <v>10</v>
      </c>
      <c r="B11" s="2">
        <v>2023</v>
      </c>
      <c r="C11" s="2">
        <v>2</v>
      </c>
      <c r="D11" s="2" t="s">
        <v>286</v>
      </c>
      <c r="E11" s="2" t="s">
        <v>109</v>
      </c>
      <c r="F11" s="3" t="s">
        <v>110</v>
      </c>
      <c r="G11" s="2">
        <v>2</v>
      </c>
      <c r="H11" s="2" t="s">
        <v>178</v>
      </c>
    </row>
    <row r="12" spans="1:8" ht="63">
      <c r="A12" s="2">
        <f t="shared" si="0"/>
        <v>11</v>
      </c>
      <c r="B12" s="2">
        <v>2023</v>
      </c>
      <c r="C12" s="2">
        <v>2</v>
      </c>
      <c r="D12" s="2" t="s">
        <v>286</v>
      </c>
      <c r="E12" s="2" t="s">
        <v>111</v>
      </c>
      <c r="F12" s="3" t="s">
        <v>112</v>
      </c>
      <c r="G12" s="2">
        <v>1</v>
      </c>
      <c r="H12" s="2" t="s">
        <v>179</v>
      </c>
    </row>
    <row r="13" spans="1:8" ht="63">
      <c r="A13" s="2">
        <f t="shared" si="0"/>
        <v>12</v>
      </c>
      <c r="B13" s="2">
        <v>2023</v>
      </c>
      <c r="C13" s="2">
        <v>2</v>
      </c>
      <c r="D13" s="2" t="s">
        <v>286</v>
      </c>
      <c r="E13" s="2" t="s">
        <v>113</v>
      </c>
      <c r="F13" s="3" t="s">
        <v>114</v>
      </c>
      <c r="G13" s="2">
        <v>3</v>
      </c>
      <c r="H13" s="2" t="s">
        <v>180</v>
      </c>
    </row>
    <row r="14" spans="1:8" ht="63">
      <c r="A14" s="2">
        <f t="shared" si="0"/>
        <v>13</v>
      </c>
      <c r="B14" s="2">
        <v>2023</v>
      </c>
      <c r="C14" s="2">
        <v>2</v>
      </c>
      <c r="D14" s="2" t="s">
        <v>286</v>
      </c>
      <c r="E14" s="2" t="s">
        <v>115</v>
      </c>
      <c r="F14" s="3" t="s">
        <v>116</v>
      </c>
      <c r="G14" s="2">
        <v>3</v>
      </c>
      <c r="H14" s="2" t="s">
        <v>181</v>
      </c>
    </row>
    <row r="15" spans="1:8" ht="63">
      <c r="A15" s="2">
        <f t="shared" si="0"/>
        <v>14</v>
      </c>
      <c r="B15" s="2">
        <v>2023</v>
      </c>
      <c r="C15" s="2">
        <v>2</v>
      </c>
      <c r="D15" s="2" t="s">
        <v>286</v>
      </c>
      <c r="E15" s="2" t="s">
        <v>118</v>
      </c>
      <c r="F15" s="3" t="s">
        <v>117</v>
      </c>
      <c r="G15" s="2">
        <v>4</v>
      </c>
      <c r="H15" s="2" t="s">
        <v>182</v>
      </c>
    </row>
    <row r="16" spans="1:8" ht="63">
      <c r="A16" s="2">
        <f t="shared" si="0"/>
        <v>15</v>
      </c>
      <c r="B16" s="2">
        <v>2023</v>
      </c>
      <c r="C16" s="2">
        <v>2</v>
      </c>
      <c r="D16" s="2" t="s">
        <v>286</v>
      </c>
      <c r="E16" s="2" t="s">
        <v>119</v>
      </c>
      <c r="F16" s="3" t="s">
        <v>120</v>
      </c>
      <c r="G16" s="2">
        <v>2</v>
      </c>
      <c r="H16" s="2" t="s">
        <v>183</v>
      </c>
    </row>
    <row r="17" spans="1:8" ht="94.5">
      <c r="A17" s="2">
        <f t="shared" si="0"/>
        <v>16</v>
      </c>
      <c r="B17" s="2">
        <v>2023</v>
      </c>
      <c r="C17" s="2">
        <v>2</v>
      </c>
      <c r="D17" s="2" t="s">
        <v>286</v>
      </c>
      <c r="E17" s="2" t="s">
        <v>121</v>
      </c>
      <c r="F17" s="3" t="s">
        <v>122</v>
      </c>
      <c r="G17" s="2">
        <v>1</v>
      </c>
      <c r="H17" s="2" t="s">
        <v>184</v>
      </c>
    </row>
    <row r="18" spans="1:8" ht="63">
      <c r="A18" s="2">
        <f t="shared" si="0"/>
        <v>17</v>
      </c>
      <c r="B18" s="2">
        <v>2023</v>
      </c>
      <c r="C18" s="2">
        <v>2</v>
      </c>
      <c r="D18" s="2" t="s">
        <v>286</v>
      </c>
      <c r="E18" s="2" t="s">
        <v>123</v>
      </c>
      <c r="F18" s="3" t="s">
        <v>124</v>
      </c>
      <c r="G18" s="2">
        <v>1</v>
      </c>
      <c r="H18" s="2" t="s">
        <v>185</v>
      </c>
    </row>
    <row r="19" spans="1:8" ht="63">
      <c r="A19" s="2">
        <f t="shared" si="0"/>
        <v>18</v>
      </c>
      <c r="B19" s="2">
        <v>2023</v>
      </c>
      <c r="C19" s="2">
        <v>2</v>
      </c>
      <c r="D19" s="2" t="s">
        <v>286</v>
      </c>
      <c r="E19" s="2" t="s">
        <v>125</v>
      </c>
      <c r="F19" s="3" t="s">
        <v>126</v>
      </c>
      <c r="G19" s="2">
        <v>2</v>
      </c>
      <c r="H19" s="2" t="s">
        <v>186</v>
      </c>
    </row>
    <row r="20" spans="1:8" ht="63">
      <c r="A20" s="2">
        <f t="shared" si="0"/>
        <v>19</v>
      </c>
      <c r="B20" s="2">
        <v>2023</v>
      </c>
      <c r="C20" s="2">
        <v>2</v>
      </c>
      <c r="D20" s="2" t="s">
        <v>286</v>
      </c>
      <c r="E20" s="2" t="s">
        <v>127</v>
      </c>
      <c r="F20" s="3" t="s">
        <v>128</v>
      </c>
      <c r="G20" s="2">
        <v>2</v>
      </c>
      <c r="H20" s="2" t="s">
        <v>187</v>
      </c>
    </row>
    <row r="21" spans="1:8" ht="63">
      <c r="A21" s="2">
        <f t="shared" si="0"/>
        <v>20</v>
      </c>
      <c r="B21" s="2">
        <v>2023</v>
      </c>
      <c r="C21" s="2">
        <v>2</v>
      </c>
      <c r="D21" s="2" t="s">
        <v>286</v>
      </c>
      <c r="E21" s="2" t="s">
        <v>129</v>
      </c>
      <c r="F21" s="3" t="s">
        <v>130</v>
      </c>
      <c r="G21" s="2">
        <v>3</v>
      </c>
      <c r="H21" s="2" t="s">
        <v>188</v>
      </c>
    </row>
    <row r="22" spans="1:8" ht="63">
      <c r="A22" s="2">
        <f t="shared" si="0"/>
        <v>21</v>
      </c>
      <c r="B22" s="2">
        <v>2023</v>
      </c>
      <c r="C22" s="2">
        <v>2</v>
      </c>
      <c r="D22" s="2" t="s">
        <v>286</v>
      </c>
      <c r="E22" s="2" t="s">
        <v>131</v>
      </c>
      <c r="F22" s="3" t="s">
        <v>132</v>
      </c>
      <c r="G22" s="2">
        <v>4</v>
      </c>
      <c r="H22" s="2" t="s">
        <v>189</v>
      </c>
    </row>
    <row r="23" spans="1:8" ht="63">
      <c r="A23" s="2">
        <f t="shared" si="0"/>
        <v>22</v>
      </c>
      <c r="B23" s="2">
        <v>2023</v>
      </c>
      <c r="C23" s="2">
        <v>2</v>
      </c>
      <c r="D23" s="2" t="s">
        <v>286</v>
      </c>
      <c r="E23" s="2" t="s">
        <v>133</v>
      </c>
      <c r="F23" s="3" t="s">
        <v>134</v>
      </c>
      <c r="G23" s="2">
        <v>2</v>
      </c>
      <c r="H23" s="2" t="s">
        <v>190</v>
      </c>
    </row>
    <row r="24" spans="1:8" ht="63">
      <c r="A24" s="2">
        <f t="shared" si="0"/>
        <v>23</v>
      </c>
      <c r="B24" s="2">
        <v>2023</v>
      </c>
      <c r="C24" s="2">
        <v>2</v>
      </c>
      <c r="D24" s="2" t="s">
        <v>286</v>
      </c>
      <c r="E24" s="2" t="s">
        <v>135</v>
      </c>
      <c r="F24" s="3" t="s">
        <v>136</v>
      </c>
      <c r="G24" s="2">
        <v>1</v>
      </c>
      <c r="H24" s="2" t="s">
        <v>191</v>
      </c>
    </row>
    <row r="25" spans="1:8" ht="63">
      <c r="A25" s="2">
        <f t="shared" si="0"/>
        <v>24</v>
      </c>
      <c r="B25" s="2">
        <v>2023</v>
      </c>
      <c r="C25" s="2">
        <v>2</v>
      </c>
      <c r="D25" s="2" t="s">
        <v>286</v>
      </c>
      <c r="E25" s="2" t="s">
        <v>137</v>
      </c>
      <c r="F25" s="3" t="s">
        <v>138</v>
      </c>
      <c r="G25" s="2">
        <v>2</v>
      </c>
      <c r="H25" s="2" t="s">
        <v>192</v>
      </c>
    </row>
    <row r="26" spans="1:8" ht="63">
      <c r="A26" s="2">
        <f t="shared" si="0"/>
        <v>25</v>
      </c>
      <c r="B26" s="2">
        <v>2023</v>
      </c>
      <c r="C26" s="2">
        <v>2</v>
      </c>
      <c r="D26" s="2" t="s">
        <v>286</v>
      </c>
      <c r="E26" s="2" t="s">
        <v>139</v>
      </c>
      <c r="F26" s="3" t="s">
        <v>140</v>
      </c>
      <c r="G26" s="2">
        <v>1</v>
      </c>
      <c r="H26" s="2" t="s">
        <v>193</v>
      </c>
    </row>
    <row r="27" spans="1:8" ht="157.5">
      <c r="A27" s="2">
        <f t="shared" si="0"/>
        <v>26</v>
      </c>
      <c r="B27" s="2">
        <v>2023</v>
      </c>
      <c r="C27" s="2" t="s">
        <v>31</v>
      </c>
      <c r="D27" s="2" t="s">
        <v>287</v>
      </c>
      <c r="E27" s="2" t="s">
        <v>141</v>
      </c>
      <c r="F27" s="3" t="s">
        <v>142</v>
      </c>
      <c r="G27" s="2" t="s">
        <v>143</v>
      </c>
      <c r="H27" s="2" t="s">
        <v>194</v>
      </c>
    </row>
    <row r="28" spans="1:8" ht="126">
      <c r="A28" s="2">
        <f t="shared" si="0"/>
        <v>27</v>
      </c>
      <c r="B28" s="2">
        <v>2023</v>
      </c>
      <c r="C28" s="2" t="s">
        <v>31</v>
      </c>
      <c r="D28" s="2" t="s">
        <v>287</v>
      </c>
      <c r="E28" s="2" t="s">
        <v>144</v>
      </c>
      <c r="F28" s="3" t="s">
        <v>145</v>
      </c>
      <c r="G28" s="2" t="s">
        <v>146</v>
      </c>
      <c r="H28" s="2" t="s">
        <v>195</v>
      </c>
    </row>
    <row r="29" spans="1:8" ht="126">
      <c r="A29" s="2">
        <f t="shared" si="0"/>
        <v>28</v>
      </c>
      <c r="B29" s="2">
        <v>2023</v>
      </c>
      <c r="C29" s="2" t="s">
        <v>31</v>
      </c>
      <c r="D29" s="2" t="s">
        <v>287</v>
      </c>
      <c r="E29" s="2" t="s">
        <v>147</v>
      </c>
      <c r="F29" s="3" t="s">
        <v>148</v>
      </c>
      <c r="G29" s="2" t="s">
        <v>149</v>
      </c>
      <c r="H29" s="2" t="s">
        <v>196</v>
      </c>
    </row>
    <row r="30" spans="1:8" ht="126">
      <c r="A30" s="2">
        <f t="shared" si="0"/>
        <v>29</v>
      </c>
      <c r="B30" s="2">
        <v>2023</v>
      </c>
      <c r="C30" s="2" t="s">
        <v>31</v>
      </c>
      <c r="D30" s="2" t="s">
        <v>287</v>
      </c>
      <c r="E30" s="2" t="s">
        <v>150</v>
      </c>
      <c r="F30" s="3" t="s">
        <v>151</v>
      </c>
      <c r="G30" s="2" t="s">
        <v>152</v>
      </c>
      <c r="H30" s="2" t="s">
        <v>197</v>
      </c>
    </row>
    <row r="31" spans="1:8" ht="126">
      <c r="A31" s="2">
        <f t="shared" si="0"/>
        <v>30</v>
      </c>
      <c r="B31" s="2">
        <v>2023</v>
      </c>
      <c r="C31" s="2" t="s">
        <v>31</v>
      </c>
      <c r="D31" s="2" t="s">
        <v>287</v>
      </c>
      <c r="E31" s="2" t="s">
        <v>289</v>
      </c>
      <c r="F31" s="3" t="s">
        <v>153</v>
      </c>
      <c r="G31" s="2" t="s">
        <v>149</v>
      </c>
      <c r="H31" s="2" t="s">
        <v>198</v>
      </c>
    </row>
    <row r="32" spans="1:8" ht="126">
      <c r="A32" s="2">
        <f t="shared" si="0"/>
        <v>31</v>
      </c>
      <c r="B32" s="2">
        <v>2023</v>
      </c>
      <c r="C32" s="2" t="s">
        <v>31</v>
      </c>
      <c r="D32" s="2" t="s">
        <v>287</v>
      </c>
      <c r="E32" s="2" t="s">
        <v>154</v>
      </c>
      <c r="F32" s="3" t="s">
        <v>155</v>
      </c>
      <c r="G32" s="2" t="s">
        <v>156</v>
      </c>
      <c r="H32" s="2" t="s">
        <v>199</v>
      </c>
    </row>
    <row r="33" spans="1:8" ht="126">
      <c r="A33" s="2">
        <f t="shared" si="0"/>
        <v>32</v>
      </c>
      <c r="B33" s="2">
        <v>2023</v>
      </c>
      <c r="C33" s="2" t="s">
        <v>31</v>
      </c>
      <c r="D33" s="2" t="s">
        <v>287</v>
      </c>
      <c r="E33" s="2" t="s">
        <v>288</v>
      </c>
      <c r="F33" s="3" t="s">
        <v>157</v>
      </c>
      <c r="G33" s="2" t="s">
        <v>158</v>
      </c>
      <c r="H33" s="2" t="s">
        <v>200</v>
      </c>
    </row>
    <row r="34" spans="1:8" ht="126">
      <c r="A34" s="2">
        <f t="shared" si="0"/>
        <v>33</v>
      </c>
      <c r="B34" s="2">
        <v>2023</v>
      </c>
      <c r="C34" s="2" t="s">
        <v>31</v>
      </c>
      <c r="D34" s="2" t="s">
        <v>287</v>
      </c>
      <c r="E34" s="2" t="s">
        <v>159</v>
      </c>
      <c r="F34" s="3" t="s">
        <v>160</v>
      </c>
      <c r="G34" s="2" t="s">
        <v>161</v>
      </c>
      <c r="H34" s="2" t="s">
        <v>201</v>
      </c>
    </row>
  </sheetData>
  <autoFilter ref="A1:H34" xr:uid="{00000000-0001-0000-0000-000000000000}"/>
  <phoneticPr fontId="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5B8D2-F877-4248-9F84-98705CBE43D6}">
  <dimension ref="A1:I34"/>
  <sheetViews>
    <sheetView zoomScale="85" zoomScaleNormal="85" workbookViewId="0">
      <selection activeCell="C22" sqref="C22"/>
    </sheetView>
  </sheetViews>
  <sheetFormatPr defaultRowHeight="15.75"/>
  <cols>
    <col min="1" max="1" width="79.125" style="5" customWidth="1"/>
    <col min="2" max="2" width="8.375" style="5" bestFit="1" customWidth="1"/>
    <col min="3" max="3" width="34.75" style="5" customWidth="1"/>
    <col min="4" max="16384" width="9" style="5"/>
  </cols>
  <sheetData>
    <row r="1" spans="1:9">
      <c r="A1" s="5" t="s">
        <v>202</v>
      </c>
      <c r="B1" s="5" t="s">
        <v>167</v>
      </c>
      <c r="C1" s="5" t="s">
        <v>203</v>
      </c>
      <c r="I1" s="5" t="s">
        <v>204</v>
      </c>
    </row>
    <row r="2" spans="1:9" ht="63">
      <c r="A2" s="6" t="s">
        <v>205</v>
      </c>
      <c r="B2" s="5">
        <v>2</v>
      </c>
      <c r="C2" s="5" t="s">
        <v>206</v>
      </c>
      <c r="D2" s="5" t="str" cm="1">
        <f t="array" ref="D2:G2">_xlfn.LET(_xlpm.sp,CHAR(10),_xlpm.txt,_xlfn.TEXTJOIN(_xlpm.sp,TRUE,A2),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触手話</v>
      </c>
      <c r="E2" s="5" t="str">
        <v>2. 要約筆記</v>
      </c>
      <c r="F2" s="5" t="str">
        <v>3. 点字通訳</v>
      </c>
      <c r="G2" s="5" t="str">
        <v>4. 指文字</v>
      </c>
      <c r="H2" s="5" t="str" cm="1">
        <f t="array" ref="H2">INDEX(_xlfn.ANCHORARRAY(D2),B2)</f>
        <v>2. 要約筆記</v>
      </c>
      <c r="I2" s="5" t="str">
        <f>H2&amp;"。"&amp;C2</f>
        <v>2. 要約筆記。要約筆記は聴覚障害者の中でも中途失聴者や難聴者に対する支援方法。手書きやパソコンテイクといった方法がある。</v>
      </c>
    </row>
    <row r="3" spans="1:9">
      <c r="A3" s="5" t="s">
        <v>207</v>
      </c>
      <c r="B3" s="5">
        <v>1</v>
      </c>
      <c r="C3" s="5" t="s">
        <v>208</v>
      </c>
      <c r="D3" s="5" t="str" cm="1">
        <f t="array" ref="D3:G3">_xlfn.LET(_xlpm.sp,CHAR(10),_xlpm.txt,_xlfn.TEXTJOIN(_xlpm.sp,TRUE,A3),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話し手の表情や口元が見える位置や顔の向きを考えて話すのがいい</v>
      </c>
      <c r="E3" s="5" t="str">
        <v>2. 筆談は簡単な文章がいいので、漢字は使わずひらがなで書くのがいい</v>
      </c>
      <c r="F3" s="5" t="str">
        <v>3. 空所は分かりやすいので、多用するほうがいい</v>
      </c>
      <c r="G3" s="5" t="str">
        <v>4. 手話を使うときは口型は全くつけない方がいい</v>
      </c>
      <c r="H3" s="5" t="str" cm="1">
        <f t="array" ref="H3">INDEX(_xlfn.ANCHORARRAY(D3),B3)</f>
        <v>1. 話し手の表情や口元が見える位置や顔の向きを考えて話すのがいい</v>
      </c>
      <c r="I3" s="5" t="str">
        <f t="shared" ref="I3:I26" si="0">H3&amp;"。"&amp;C3</f>
        <v>1. 話し手の表情や口元が見える位置や顔の向きを考えて話すのがいい。手話は口元も含めて顔の表情が見やすい工夫をすることが重要である</v>
      </c>
    </row>
    <row r="4" spans="1:9">
      <c r="A4" s="5" t="s">
        <v>209</v>
      </c>
      <c r="B4" s="5">
        <v>4</v>
      </c>
      <c r="C4" s="5" t="s">
        <v>210</v>
      </c>
      <c r="D4" s="5" t="str" cm="1">
        <f t="array" ref="D4:G4">_xlfn.LET(_xlpm.sp,CHAR(10),_xlpm.txt,_xlfn.TEXTJOIN(_xlpm.sp,TRUE,A4),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コ</v>
      </c>
      <c r="E4" s="5" t="str">
        <v>2. ク</v>
      </c>
      <c r="F4" s="5" t="str">
        <v>3. セ</v>
      </c>
      <c r="G4" s="5" t="str">
        <v>4. ラ</v>
      </c>
      <c r="H4" s="5" t="str" cm="1">
        <f t="array" ref="H4">INDEX(_xlfn.ANCHORARRAY(D4),B4)</f>
        <v>4. ラ</v>
      </c>
      <c r="I4" s="5" t="str">
        <f t="shared" si="0"/>
        <v>4. ラ。ラはアルファベットのRからきている</v>
      </c>
    </row>
    <row r="5" spans="1:9">
      <c r="A5" s="5" t="s">
        <v>211</v>
      </c>
      <c r="B5" s="5">
        <v>2</v>
      </c>
      <c r="C5" s="5" t="s">
        <v>212</v>
      </c>
      <c r="D5" s="5" t="str" cm="1">
        <f t="array" ref="D5:G5">_xlfn.LET(_xlpm.sp,CHAR(10),_xlpm.txt,_xlfn.TEXTJOIN(_xlpm.sp,TRUE,A5),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手話には文法がある</v>
      </c>
      <c r="E5" s="5" t="str">
        <v>2. 手話はどの国も同じである</v>
      </c>
      <c r="F5" s="5" t="str">
        <v>3. 手話は伝承することができる</v>
      </c>
      <c r="G5" s="5" t="str">
        <v>4. 手話には方言がある</v>
      </c>
      <c r="H5" s="5" t="str" cm="1">
        <f t="array" ref="H5">INDEX(_xlfn.ANCHORARRAY(D5),B5)</f>
        <v>2. 手話はどの国も同じである</v>
      </c>
      <c r="I5" s="5" t="str">
        <f t="shared" si="0"/>
        <v>2. 手話はどの国も同じである。手話は各国で異なる。</v>
      </c>
    </row>
    <row r="6" spans="1:9">
      <c r="A6" s="5" t="s">
        <v>213</v>
      </c>
      <c r="B6" s="5">
        <v>1</v>
      </c>
      <c r="C6" s="5" t="s">
        <v>214</v>
      </c>
      <c r="D6" s="5" t="str" cm="1">
        <f t="array" ref="D6:G6">_xlfn.LET(_xlpm.sp,CHAR(10),_xlpm.txt,_xlfn.TEXTJOIN(_xlpm.sp,TRUE,A6),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補聴器を使用すると音の聞き分けが良くなる</v>
      </c>
      <c r="E6" s="5" t="str">
        <v>2. 大きい音がうるさく聞こえる</v>
      </c>
      <c r="F6" s="5" t="str">
        <v>3. 小さい音が聞こえない</v>
      </c>
      <c r="G6" s="5" t="str">
        <v>4. 話し言葉の弁別がしにくい</v>
      </c>
      <c r="H6" s="5" t="str" cm="1">
        <f t="array" ref="H6">INDEX(_xlfn.ANCHORARRAY(D6),B6)</f>
        <v>1. 補聴器を使用すると音の聞き分けが良くなる</v>
      </c>
      <c r="I6" s="5" t="str">
        <f t="shared" si="0"/>
        <v>1. 補聴器を使用すると音の聞き分けが良くなる。1は伝音声難聴の特徴である。</v>
      </c>
    </row>
    <row r="7" spans="1:9">
      <c r="A7" s="5" t="s">
        <v>215</v>
      </c>
      <c r="B7" s="5">
        <v>3</v>
      </c>
      <c r="C7" s="5" t="s">
        <v>216</v>
      </c>
      <c r="D7" s="5" t="str" cm="1">
        <f t="array" ref="D7:G7">_xlfn.LET(_xlpm.sp,CHAR(10),_xlpm.txt,_xlfn.TEXTJOIN(_xlpm.sp,TRUE,A7),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障害者差別撤廃条約</v>
      </c>
      <c r="E7" s="5" t="str">
        <v>2. 子どもの権利条約</v>
      </c>
      <c r="F7" s="5" t="str">
        <v>3. 障害者権利条約</v>
      </c>
      <c r="G7" s="5" t="str">
        <v>4. 女性差別撤廃条約</v>
      </c>
      <c r="H7" s="5" t="str" cm="1">
        <f t="array" ref="H7">INDEX(_xlfn.ANCHORARRAY(D7),B7)</f>
        <v>3. 障害者権利条約</v>
      </c>
      <c r="I7" s="5" t="str">
        <f t="shared" si="0"/>
        <v>3. 障害者権利条約。日本障害フォーラムは全日本ろうあ連盟などの13団体で構成されている。障害者施策の推進やイエローリボン運動などの啓発活動も行う。</v>
      </c>
    </row>
    <row r="8" spans="1:9">
      <c r="A8" s="5" t="s">
        <v>217</v>
      </c>
      <c r="B8" s="5">
        <v>3</v>
      </c>
      <c r="C8" s="5" t="s">
        <v>218</v>
      </c>
      <c r="D8" s="5" t="str" cm="1">
        <f t="array" ref="D8:G8">_xlfn.LET(_xlpm.sp,CHAR(10),_xlpm.txt,_xlfn.TEXTJOIN(_xlpm.sp,TRUE,A8),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いつも同じ人が継続的なミーティングの中で語り合いをするカウンセリング</v>
      </c>
      <c r="E8" s="5" t="str">
        <v>2. 夫婦の間の問題解決のために2人で受けるカウンセリング</v>
      </c>
      <c r="F8" s="5" t="str">
        <v>3. 同じ立場や障害を持っている人同士で行うカウンセリング</v>
      </c>
      <c r="G8" s="5" t="str">
        <v>4. 日頃悩んでいる家庭のこと・仕事のこと・病気のことなどについてメールで受けるカウンセリング</v>
      </c>
      <c r="H8" s="5" t="str" cm="1">
        <f t="array" ref="H8">INDEX(_xlfn.ANCHORARRAY(D8),B8)</f>
        <v>3. 同じ立場や障害を持っている人同士で行うカウンセリング</v>
      </c>
      <c r="I8" s="5" t="str">
        <f t="shared" si="0"/>
        <v>3. 同じ立場や障害を持っている人同士で行うカウンセリング。さまざまな場面で自分自身で選択し決定する自立生活を目指す仲間を（ピア）を作り、お互いに平等な立場で話を聞きあってサポートすること</v>
      </c>
    </row>
    <row r="9" spans="1:9">
      <c r="A9" s="5" t="s">
        <v>219</v>
      </c>
      <c r="B9" s="5">
        <v>3</v>
      </c>
      <c r="C9" s="5" t="s">
        <v>220</v>
      </c>
      <c r="D9" s="5" t="str" cm="1">
        <f t="array" ref="D9:G9">_xlfn.LET(_xlpm.sp,CHAR(10),_xlpm.txt,_xlfn.TEXTJOIN(_xlpm.sp,TRUE,A9),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総務省</v>
      </c>
      <c r="E9" s="5" t="str">
        <v>2. 文部科学省</v>
      </c>
      <c r="F9" s="5" t="str">
        <v>3. 厚生労働省</v>
      </c>
      <c r="G9" s="5" t="str">
        <v>4. 国土交通省</v>
      </c>
      <c r="H9" s="5" t="str" cm="1">
        <f t="array" ref="H9">INDEX(_xlfn.ANCHORARRAY(D9),B9)</f>
        <v>3. 厚生労働省</v>
      </c>
      <c r="I9" s="5" t="str">
        <f t="shared" si="0"/>
        <v>3. 厚生労働省。1973年に労働省（厚生労働省）が聴覚障害者の求職相談などのために手話協力員を設置した。</v>
      </c>
    </row>
    <row r="10" spans="1:9">
      <c r="A10" s="5" t="s">
        <v>221</v>
      </c>
      <c r="B10" s="5">
        <v>4</v>
      </c>
      <c r="C10" s="5" t="s">
        <v>222</v>
      </c>
      <c r="D10" s="5" t="str" cm="1">
        <f t="array" ref="D10:G10">_xlfn.LET(_xlpm.sp,CHAR(10),_xlpm.txt,_xlfn.TEXTJOIN(_xlpm.sp,TRUE,A10),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出会い、触れあい、心の輪</v>
      </c>
      <c r="E10" s="5" t="str">
        <v>2. 壁を取り払い、扉を開こう: すべての人々が参加できる社会のために</v>
      </c>
      <c r="F10" s="5" t="str">
        <v>3. わたしたち抜きで私たちのことを決めるな</v>
      </c>
      <c r="G10" s="5" t="str">
        <v>4. 完全参加と平等</v>
      </c>
      <c r="H10" s="5" t="str" cm="1">
        <f t="array" ref="H10">INDEX(_xlfn.ANCHORARRAY(D10),B10)</f>
        <v>4. 完全参加と平等</v>
      </c>
      <c r="I10" s="5" t="str">
        <f t="shared" si="0"/>
        <v>4. 完全参加と平等。障害者が社会生活および社会への発展へ完全に参加できること、ほかの人々との平等な生活が営めること、経済的および社会的発展によって改善される生活状況を享受できることを目的とした。</v>
      </c>
    </row>
    <row r="11" spans="1:9">
      <c r="A11" s="5" t="s">
        <v>223</v>
      </c>
      <c r="B11" s="5">
        <v>2</v>
      </c>
      <c r="C11" s="5" t="s">
        <v>224</v>
      </c>
      <c r="D11" s="5" t="str" cm="1">
        <f t="array" ref="D11:G11">_xlfn.LET(_xlpm.sp,CHAR(10),_xlpm.txt,_xlfn.TEXTJOIN(_xlpm.sp,TRUE,A11),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高次脳機能障害</v>
      </c>
      <c r="E11" s="5" t="str">
        <v>2. 頸肩腕障害</v>
      </c>
      <c r="F11" s="5" t="str">
        <v>3. 言語障害</v>
      </c>
      <c r="G11" s="5" t="str">
        <v>4. 肝機能障害</v>
      </c>
      <c r="H11" s="5" t="str" cm="1">
        <f t="array" ref="H11">INDEX(_xlfn.ANCHORARRAY(D11),B11)</f>
        <v>2. 頸肩腕障害</v>
      </c>
      <c r="I11" s="5" t="str">
        <f t="shared" si="0"/>
        <v>2. 頸肩腕障害。上腕から前腕にかけて疲労感や脱力感・痛みなどが起き、重なることで慢性的なだるさや食用低下などが現れる状態</v>
      </c>
    </row>
    <row r="12" spans="1:9">
      <c r="A12" s="5" t="s">
        <v>225</v>
      </c>
      <c r="B12" s="5">
        <v>1</v>
      </c>
      <c r="C12" s="5" t="s">
        <v>226</v>
      </c>
      <c r="D12" s="5" t="str" cm="1">
        <f t="array" ref="D12:G12">_xlfn.LET(_xlpm.sp,CHAR(10),_xlpm.txt,_xlfn.TEXTJOIN(_xlpm.sp,TRUE,A12),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デフリンピック</v>
      </c>
      <c r="E12" s="5" t="str">
        <v>2. パラリンピック</v>
      </c>
      <c r="F12" s="5" t="str">
        <v>3. オリンピック</v>
      </c>
      <c r="G12" s="5" t="str">
        <v>4. アビリンピック</v>
      </c>
      <c r="H12" s="5" t="str" cm="1">
        <f t="array" ref="H12">INDEX(_xlfn.ANCHORARRAY(D12),B12)</f>
        <v>1. デフリンピック</v>
      </c>
      <c r="I12" s="5" t="str">
        <f t="shared" si="0"/>
        <v>1. デフリンピック。聞こえないことをデフという。ろう者のオリンピックという意味合いでデフリンピックという。</v>
      </c>
    </row>
    <row r="13" spans="1:9">
      <c r="A13" s="5" t="s">
        <v>227</v>
      </c>
      <c r="B13" s="5">
        <v>3</v>
      </c>
      <c r="C13" s="5" t="s">
        <v>228</v>
      </c>
      <c r="D13" s="5" t="str" cm="1">
        <f t="array" ref="D13:G13">_xlfn.LET(_xlpm.sp,CHAR(10),_xlpm.txt,_xlfn.TEXTJOIN(_xlpm.sp,TRUE,A13),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北海道</v>
      </c>
      <c r="E13" s="5" t="str">
        <v>2. 神奈川県</v>
      </c>
      <c r="F13" s="5" t="str">
        <v>3. 鳥取県</v>
      </c>
      <c r="G13" s="5" t="str">
        <v>4. 福岡県</v>
      </c>
      <c r="H13" s="5" t="str" cm="1">
        <f t="array" ref="H13">INDEX(_xlfn.ANCHORARRAY(D13),B13)</f>
        <v>3. 鳥取県</v>
      </c>
      <c r="I13" s="5" t="str">
        <f t="shared" si="0"/>
        <v>3. 鳥取県。2013年に鳥取県で制定され、全国の自治体へと波及して2024年時点では38都道府県21区357市110町6村、計532自治体で制定された。</v>
      </c>
    </row>
    <row r="14" spans="1:9">
      <c r="A14" s="5" t="s">
        <v>229</v>
      </c>
      <c r="B14" s="5">
        <v>3</v>
      </c>
      <c r="C14" s="5" t="s">
        <v>230</v>
      </c>
      <c r="D14" s="5" t="str" cm="1">
        <f t="array" ref="D14:G14">_xlfn.LET(_xlpm.sp,CHAR(10),_xlpm.txt,_xlfn.TEXTJOIN(_xlpm.sp,TRUE,A14),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聴覚言語障害センター</v>
      </c>
      <c r="E14" s="5" t="str">
        <v>2. 聴覚障害者情報センター</v>
      </c>
      <c r="F14" s="5" t="str">
        <v>3. 聴覚障害者情報提供施設</v>
      </c>
      <c r="G14" s="5" t="str">
        <v>4. 聴覚障害者手話通訳派遣センター</v>
      </c>
      <c r="H14" s="5" t="str" cm="1">
        <f t="array" ref="H14">INDEX(_xlfn.ANCHORARRAY(D14),B14)</f>
        <v>3. 聴覚障害者情報提供施設</v>
      </c>
      <c r="I14" s="5" t="str">
        <f t="shared" si="0"/>
        <v>3. 聴覚障害者情報提供施設。1990年に身体障害者福祉法が改正されて、聴覚障害者情報提供施設を設置することができると定められた。</v>
      </c>
    </row>
    <row r="15" spans="1:9">
      <c r="A15" s="5" t="s">
        <v>231</v>
      </c>
      <c r="B15" s="5">
        <v>4</v>
      </c>
      <c r="C15" s="5" t="s">
        <v>232</v>
      </c>
      <c r="D15" s="5" t="str" cm="1">
        <f t="array" ref="D15:G15">_xlfn.LET(_xlpm.sp,CHAR(10),_xlpm.txt,_xlfn.TEXTJOIN(_xlpm.sp,TRUE,A15),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人権週間</v>
      </c>
      <c r="E15" s="5" t="str">
        <v>2. 教育週間</v>
      </c>
      <c r="F15" s="5" t="str">
        <v>3. 福祉週間</v>
      </c>
      <c r="G15" s="5" t="str">
        <v>4. 障害者週間</v>
      </c>
      <c r="H15" s="5" t="str" cm="1">
        <f t="array" ref="H15">INDEX(_xlfn.ANCHORARRAY(D15),B15)</f>
        <v>4. 障害者週間</v>
      </c>
      <c r="I15" s="5" t="str">
        <f t="shared" si="0"/>
        <v>4. 障害者週間。2004年6月に障害者基本法が改正されて12月9日を障害者の日と定めていたものを12月3日～9日を障害者週間と定めた。</v>
      </c>
    </row>
    <row r="16" spans="1:9">
      <c r="A16" s="5" t="s">
        <v>233</v>
      </c>
      <c r="B16" s="5">
        <v>2</v>
      </c>
      <c r="C16" s="5" t="s">
        <v>234</v>
      </c>
      <c r="D16" s="5" t="str" cm="1">
        <f t="array" ref="D16:G16">_xlfn.LET(_xlpm.sp,CHAR(10),_xlpm.txt,_xlfn.TEXTJOIN(_xlpm.sp,TRUE,A16),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義務雇用率</v>
      </c>
      <c r="E16" s="5" t="str">
        <v>2. 法定雇用率</v>
      </c>
      <c r="F16" s="5" t="str">
        <v>3. 目標雇用率</v>
      </c>
      <c r="G16" s="5" t="str">
        <v>4. 最低雇用率</v>
      </c>
      <c r="H16" s="5" t="str" cm="1">
        <f t="array" ref="H16">INDEX(_xlfn.ANCHORARRAY(D16),B16)</f>
        <v>2. 法定雇用率</v>
      </c>
      <c r="I16" s="5" t="str">
        <f t="shared" si="0"/>
        <v>2. 法定雇用率。障害者雇用促進法は障害者の職業安定を図ることを目的とする法律。職業リハビリテーションの促進や障害に対する差別の禁止などが規定される。</v>
      </c>
    </row>
    <row r="17" spans="1:9">
      <c r="A17" s="5" t="s">
        <v>235</v>
      </c>
      <c r="B17" s="5">
        <v>1</v>
      </c>
      <c r="C17" s="5" t="s">
        <v>236</v>
      </c>
      <c r="D17" s="5" t="str" cm="1">
        <f t="array" ref="D17:G17">_xlfn.LET(_xlpm.sp,CHAR(10),_xlpm.txt,_xlfn.TEXTJOIN(_xlpm.sp,TRUE,A17),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手話の語彙の一部になることがある</v>
      </c>
      <c r="E17" s="5" t="str">
        <v>2. 主にカタカナで書かれる言葉について表現するためのものである</v>
      </c>
      <c r="F17" s="5" t="str">
        <v>3. 指文字は年々改良されている</v>
      </c>
      <c r="G17" s="5" t="str">
        <v>4. 五十音に対応しているが、「が」などの濁音は表現できない</v>
      </c>
      <c r="H17" s="5" t="str" cm="1">
        <f t="array" ref="H17">INDEX(_xlfn.ANCHORARRAY(D17),B17)</f>
        <v>1. 手話の語彙の一部になることがある</v>
      </c>
      <c r="I17" s="5" t="str">
        <f t="shared" si="0"/>
        <v>1. 手話の語彙の一部になることがある。指文字を表現の一部にする手話単語もたくさんあります。施設の手話は指文字のシを用います。</v>
      </c>
    </row>
    <row r="18" spans="1:9">
      <c r="A18" s="5" t="s">
        <v>237</v>
      </c>
      <c r="B18" s="5">
        <v>1</v>
      </c>
      <c r="C18" s="5" t="s">
        <v>238</v>
      </c>
      <c r="D18" s="5" t="str" cm="1">
        <f t="array" ref="D18:G18">_xlfn.LET(_xlpm.sp,CHAR(10),_xlpm.txt,_xlfn.TEXTJOIN(_xlpm.sp,TRUE,A18),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経済と商売</v>
      </c>
      <c r="E18" s="5" t="str">
        <v>2. 遊びと会社</v>
      </c>
      <c r="F18" s="5" t="str">
        <v>3. 姉と弟</v>
      </c>
      <c r="G18" s="5" t="str">
        <v>4. 考えると私</v>
      </c>
      <c r="H18" s="5" t="str" cm="1">
        <f t="array" ref="H18">INDEX(_xlfn.ANCHORARRAY(D18),B18)</f>
        <v>1. 経済と商売</v>
      </c>
      <c r="I18" s="5" t="str">
        <f t="shared" si="0"/>
        <v>1. 経済と商売。全日本ろうあ連盟発行「わたしたちの手話 学習辞典1」などを参照。</v>
      </c>
    </row>
    <row r="19" spans="1:9">
      <c r="A19" s="5" t="s">
        <v>239</v>
      </c>
      <c r="B19" s="5">
        <v>2</v>
      </c>
      <c r="C19" s="5" t="s">
        <v>240</v>
      </c>
      <c r="D19" s="5" t="str" cm="1">
        <f t="array" ref="D19:G19">_xlfn.LET(_xlpm.sp,CHAR(10),_xlpm.txt,_xlfn.TEXTJOIN(_xlpm.sp,TRUE,A19),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香川</v>
      </c>
      <c r="E19" s="5" t="str">
        <v>2. 広島</v>
      </c>
      <c r="F19" s="5" t="str">
        <v>3. 長野</v>
      </c>
      <c r="G19" s="5" t="str">
        <v>4. 秋田</v>
      </c>
      <c r="H19" s="5" t="str" cm="1">
        <f t="array" ref="H19">INDEX(_xlfn.ANCHORARRAY(D19),B19)</f>
        <v>2. 広島</v>
      </c>
      <c r="I19" s="5" t="str">
        <f t="shared" si="0"/>
        <v>2. 広島。広島の手話は宮島にある厳島神社の鳥居の形から作られています。</v>
      </c>
    </row>
    <row r="20" spans="1:9">
      <c r="A20" s="5" t="s">
        <v>241</v>
      </c>
      <c r="B20" s="5">
        <v>2</v>
      </c>
      <c r="C20" s="5" t="s">
        <v>238</v>
      </c>
      <c r="D20" s="5" t="str" cm="1">
        <f t="array" ref="D20:G20">_xlfn.LET(_xlpm.sp,CHAR(10),_xlpm.txt,_xlfn.TEXTJOIN(_xlpm.sp,TRUE,A20),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気温</v>
      </c>
      <c r="E20" s="5" t="str">
        <v>2. プライバシー</v>
      </c>
      <c r="F20" s="5" t="str">
        <v>3. オーバー</v>
      </c>
      <c r="G20" s="5" t="str">
        <v>4. 詳細</v>
      </c>
      <c r="H20" s="5" t="str" cm="1">
        <f t="array" ref="H20">INDEX(_xlfn.ANCHORARRAY(D20),B20)</f>
        <v>2. プライバシー</v>
      </c>
      <c r="I20" s="5" t="str">
        <f t="shared" si="0"/>
        <v>2. プライバシー。全日本ろうあ連盟発行「わたしたちの手話 学習辞典1」などを参照。</v>
      </c>
    </row>
    <row r="21" spans="1:9">
      <c r="A21" s="5" t="s">
        <v>242</v>
      </c>
      <c r="B21" s="5">
        <v>3</v>
      </c>
      <c r="C21" s="5" t="s">
        <v>243</v>
      </c>
      <c r="D21" s="5" t="str" cm="1">
        <f t="array" ref="D21:G21">_xlfn.LET(_xlpm.sp,CHAR(10),_xlpm.txt,_xlfn.TEXTJOIN(_xlpm.sp,TRUE,A21),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生きる</v>
      </c>
      <c r="E21" s="5" t="str">
        <v>2. 訓練</v>
      </c>
      <c r="F21" s="5" t="str">
        <v>3. 基準</v>
      </c>
      <c r="G21" s="5" t="str">
        <v>4. 材料</v>
      </c>
      <c r="H21" s="5" t="str" cm="1">
        <f t="array" ref="H21">INDEX(_xlfn.ANCHORARRAY(D21),B21)</f>
        <v>3. 基準</v>
      </c>
      <c r="I21" s="5" t="str">
        <f t="shared" si="0"/>
        <v>3. 基準。【基準】以外はすべて両手こぶしを使った手話表現です。</v>
      </c>
    </row>
    <row r="22" spans="1:9">
      <c r="A22" s="5" t="s">
        <v>244</v>
      </c>
      <c r="B22" s="5">
        <v>4</v>
      </c>
      <c r="C22" s="5" t="s">
        <v>245</v>
      </c>
      <c r="D22" s="5" t="str" cm="1">
        <f t="array" ref="D22:G22">_xlfn.LET(_xlpm.sp,CHAR(10),_xlpm.txt,_xlfn.TEXTJOIN(_xlpm.sp,TRUE,A22),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災害</v>
      </c>
      <c r="E22" s="5" t="str">
        <v>2. 非</v>
      </c>
      <c r="F22" s="5" t="str">
        <v>3. 北陸</v>
      </c>
      <c r="G22" s="5" t="str">
        <v>4. 虹</v>
      </c>
      <c r="H22" s="5" t="str" cm="1">
        <f t="array" ref="H22">INDEX(_xlfn.ANCHORARRAY(D22),B22)</f>
        <v>4. 虹</v>
      </c>
      <c r="I22" s="5" t="str">
        <f t="shared" si="0"/>
        <v>4. 虹。【虹】の手話は事象そのものから成り立っています。ちなみに虹を七色と認識しているのは日本の特徴のようです。</v>
      </c>
    </row>
    <row r="23" spans="1:9">
      <c r="A23" s="5" t="s">
        <v>246</v>
      </c>
      <c r="B23" s="5">
        <v>2</v>
      </c>
      <c r="C23" s="5" t="s">
        <v>247</v>
      </c>
      <c r="D23" s="5" t="str" cm="1">
        <f t="array" ref="D23:G23">_xlfn.LET(_xlpm.sp,CHAR(10),_xlpm.txt,_xlfn.TEXTJOIN(_xlpm.sp,TRUE,A23),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音の大きさ</v>
      </c>
      <c r="E23" s="5" t="str">
        <v>2. 音の長さ</v>
      </c>
      <c r="F23" s="5" t="str">
        <v>3. 音の高さ</v>
      </c>
      <c r="G23" s="5" t="str">
        <v>4. 音色</v>
      </c>
      <c r="H23" s="5" t="str" cm="1">
        <f t="array" ref="H23">INDEX(_xlfn.ANCHORARRAY(D23),B23)</f>
        <v>2. 音の長さ</v>
      </c>
      <c r="I23" s="5" t="str">
        <f t="shared" si="0"/>
        <v>2. 音の長さ。音の三要素は「音の高さ」「音の大きさ」「音色」の３つからなります。</v>
      </c>
    </row>
    <row r="24" spans="1:9">
      <c r="A24" s="5" t="s">
        <v>248</v>
      </c>
      <c r="B24" s="5">
        <v>1</v>
      </c>
      <c r="C24" s="5" t="s">
        <v>249</v>
      </c>
      <c r="D24" s="5" t="str" cm="1">
        <f t="array" ref="D24:G24">_xlfn.LET(_xlpm.sp,CHAR(10),_xlpm.txt,_xlfn.TEXTJOIN(_xlpm.sp,TRUE,A24),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障害者基本法</v>
      </c>
      <c r="E24" s="5" t="str">
        <v>2. 障害者差別解消法</v>
      </c>
      <c r="F24" s="5" t="str">
        <v>3. 障害者総合支援法</v>
      </c>
      <c r="G24" s="5" t="str">
        <v>4. 障害者自立支援法</v>
      </c>
      <c r="H24" s="5" t="str" cm="1">
        <f t="array" ref="H24">INDEX(_xlfn.ANCHORARRAY(D24),B24)</f>
        <v>1. 障害者基本法</v>
      </c>
      <c r="I24" s="5" t="str">
        <f t="shared" si="0"/>
        <v>1. 障害者基本法。2011年の障害者基本法改正で第3条第11項第3号に規定されたことによって言語性が認められたといわれています。</v>
      </c>
    </row>
    <row r="25" spans="1:9">
      <c r="A25" s="5" t="s">
        <v>250</v>
      </c>
      <c r="B25" s="5">
        <v>2</v>
      </c>
      <c r="C25" s="5" t="s">
        <v>251</v>
      </c>
      <c r="D25" s="5" t="str" cm="1">
        <f t="array" ref="D25:G25">_xlfn.LET(_xlpm.sp,CHAR(10),_xlpm.txt,_xlfn.TEXTJOIN(_xlpm.sp,TRUE,A25),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目で見るテレビ</v>
      </c>
      <c r="E25" s="5" t="str">
        <v>2. 目で聴くテレビ</v>
      </c>
      <c r="F25" s="5" t="str">
        <v>3. 耳で見るテレビ</v>
      </c>
      <c r="G25" s="5" t="str">
        <v>4. 耳で聴くテレビ</v>
      </c>
      <c r="H25" s="5" t="str" cm="1">
        <f t="array" ref="H25">INDEX(_xlfn.ANCHORARRAY(D25),B25)</f>
        <v>2. 目で聴くテレビ</v>
      </c>
      <c r="I25" s="5" t="str">
        <f t="shared" si="0"/>
        <v>2. 目で聴くテレビ。1995年の阪神淡路大震災の反省を踏まえて1998年から手話と字幕を付けた目で聴くテレビがスタートしました。</v>
      </c>
    </row>
    <row r="26" spans="1:9">
      <c r="A26" s="5" t="s">
        <v>252</v>
      </c>
      <c r="B26" s="5">
        <v>1</v>
      </c>
      <c r="C26" s="5" t="s">
        <v>253</v>
      </c>
      <c r="D26" s="5" t="str" cm="1">
        <f t="array" ref="D26:G26">_xlfn.LET(_xlpm.sp,CHAR(10),_xlpm.txt,_xlfn.TEXTJOIN(_xlpm.sp,TRUE,A26),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バリアフリー</v>
      </c>
      <c r="E26" s="5" t="str">
        <v>2. 社会モデル</v>
      </c>
      <c r="F26" s="5" t="str">
        <v>3. インクルージョン</v>
      </c>
      <c r="G26" s="5" t="str">
        <v>4. リハビリテーション</v>
      </c>
      <c r="H26" s="5" t="str" cm="1">
        <f t="array" ref="H26">INDEX(_xlfn.ANCHORARRAY(D26),B26)</f>
        <v>1. バリアフリー</v>
      </c>
      <c r="I26" s="5" t="str">
        <f t="shared" si="0"/>
        <v>1. バリアフリー。バリアフリーは高齢者や障害者等が生活する上での障壁（バリア）を除去（フリー）することです。社会モデルは高齢者や障害者等が生活するうえで障壁となっているものは社会にあるという考え方です。</v>
      </c>
    </row>
    <row r="27" spans="1:9">
      <c r="A27" s="5" t="s">
        <v>254</v>
      </c>
      <c r="B27" s="5" t="s">
        <v>255</v>
      </c>
      <c r="C27" s="5" t="s">
        <v>256</v>
      </c>
    </row>
    <row r="28" spans="1:9">
      <c r="A28" s="5" t="s">
        <v>257</v>
      </c>
      <c r="B28" s="5" t="s">
        <v>258</v>
      </c>
      <c r="C28" s="5" t="s">
        <v>259</v>
      </c>
    </row>
    <row r="29" spans="1:9">
      <c r="A29" s="5" t="s">
        <v>260</v>
      </c>
      <c r="B29" s="5" t="s">
        <v>261</v>
      </c>
      <c r="C29" s="5" t="s">
        <v>262</v>
      </c>
    </row>
    <row r="30" spans="1:9">
      <c r="A30" s="5" t="s">
        <v>263</v>
      </c>
      <c r="B30" s="5" t="s">
        <v>264</v>
      </c>
      <c r="C30" s="5" t="s">
        <v>238</v>
      </c>
    </row>
    <row r="31" spans="1:9">
      <c r="A31" s="5" t="s">
        <v>265</v>
      </c>
      <c r="B31" s="5" t="s">
        <v>261</v>
      </c>
      <c r="C31" s="5" t="s">
        <v>266</v>
      </c>
    </row>
    <row r="32" spans="1:9">
      <c r="A32" s="5" t="s">
        <v>267</v>
      </c>
      <c r="B32" s="5" t="s">
        <v>268</v>
      </c>
      <c r="C32" s="5" t="s">
        <v>269</v>
      </c>
    </row>
    <row r="33" spans="1:3">
      <c r="A33" s="5" t="s">
        <v>270</v>
      </c>
      <c r="B33" s="5" t="s">
        <v>271</v>
      </c>
      <c r="C33" s="5" t="s">
        <v>272</v>
      </c>
    </row>
    <row r="34" spans="1:3">
      <c r="A34" s="5" t="s">
        <v>273</v>
      </c>
      <c r="B34" s="5" t="s">
        <v>274</v>
      </c>
      <c r="C34" s="5" t="s">
        <v>275</v>
      </c>
    </row>
  </sheetData>
  <phoneticPr fontId="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086BD-78D6-4445-A094-DE4C0FAEAC70}">
  <dimension ref="A1:T9"/>
  <sheetViews>
    <sheetView topLeftCell="B7" zoomScale="70" zoomScaleNormal="70" workbookViewId="0">
      <selection activeCell="B16" sqref="B16"/>
    </sheetView>
  </sheetViews>
  <sheetFormatPr defaultRowHeight="15.75"/>
  <cols>
    <col min="1" max="1" width="72.5" style="5" customWidth="1"/>
    <col min="2" max="2" width="52.875" style="5" customWidth="1"/>
    <col min="3" max="16384" width="9" style="5"/>
  </cols>
  <sheetData>
    <row r="1" spans="1:20">
      <c r="A1" s="5" t="s">
        <v>276</v>
      </c>
      <c r="B1" s="5" t="s">
        <v>202</v>
      </c>
      <c r="C1" s="5" t="s">
        <v>167</v>
      </c>
      <c r="D1" s="5" t="s">
        <v>203</v>
      </c>
    </row>
    <row r="2" spans="1:20" ht="157.5">
      <c r="A2" s="5" t="s">
        <v>277</v>
      </c>
      <c r="B2" s="6" t="s">
        <v>254</v>
      </c>
      <c r="C2" s="5" t="s">
        <v>255</v>
      </c>
      <c r="D2" s="5" t="s">
        <v>256</v>
      </c>
      <c r="E2" s="5" t="str" cm="1">
        <f t="array" ref="E2:N2">_xlfn.LET(_xlpm.sp,CHAR(10),_xlpm.txt,_xlfn.TEXTJOIN(_xlpm.sp,TRUE,B2),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中耳</v>
      </c>
      <c r="F2" s="5" t="str">
        <v>2. 内耳</v>
      </c>
      <c r="G2" s="5" t="str">
        <v>3. 外耳</v>
      </c>
      <c r="H2" s="5" t="str">
        <v>4. 補聴器</v>
      </c>
      <c r="I2" s="5" t="str">
        <v>5. 集音器</v>
      </c>
      <c r="J2" s="5" t="str">
        <v>6. 低い</v>
      </c>
      <c r="K2" s="5" t="str">
        <v>7. 高い</v>
      </c>
      <c r="L2" s="5" t="str">
        <v>8. 伝音声</v>
      </c>
      <c r="M2" s="5" t="str">
        <v>9. 感音性</v>
      </c>
      <c r="N2" s="5" t="str">
        <v>10. 突発性</v>
      </c>
      <c r="O2" s="5" t="str" cm="1">
        <f t="array" ref="O2:R2">_xlfn.LET(_xlpm.sp,",",_xlpm.txt,_xlfn.TEXTJOIN(_xlpm.sp,TRUE,C2),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8</v>
      </c>
      <c r="P2" s="5" t="str">
        <v>2</v>
      </c>
      <c r="Q2" s="5" t="str">
        <v>4</v>
      </c>
      <c r="R2" s="5" t="str">
        <v>7</v>
      </c>
      <c r="S2" s="5" t="str" cm="1">
        <f t="array" ref="S2">"(ア): "&amp;INDEX(_xlfn.ANCHORARRAY(E2),O2)&amp;" (イ): "&amp;INDEX(_xlfn.ANCHORARRAY(E2),P2)&amp;" (ウ): "&amp;INDEX(_xlfn.ANCHORARRAY(E2),Q2)&amp;" (エ): "&amp;INDEX(_xlfn.ANCHORARRAY(E2),R2)</f>
        <v>(ア): 8. 伝音声 (イ): 2. 内耳 (ウ): 4. 補聴器 (エ): 7. 高い</v>
      </c>
      <c r="T2" s="5" t="str">
        <f>S2&amp;"。"&amp;D2</f>
        <v>(ア): 8. 伝音声 (イ): 2. 内耳 (ウ): 4. 補聴器 (エ): 7. 高い。伝音性難聴は空気の振動としての音を内耳に伝える外耳道、鼓膜、耳小骨の部分に障害があるため、振動が伝わりに肉なって音が小さく聞こえる障害です。</v>
      </c>
    </row>
    <row r="3" spans="1:20" ht="126">
      <c r="A3" s="5" t="s">
        <v>278</v>
      </c>
      <c r="B3" s="6" t="s">
        <v>257</v>
      </c>
      <c r="C3" s="5" t="s">
        <v>258</v>
      </c>
      <c r="D3" s="5" t="s">
        <v>259</v>
      </c>
      <c r="E3" s="5" t="str" cm="1">
        <f t="array" ref="E3:L3">_xlfn.LET(_xlpm.sp,CHAR(10),_xlpm.txt,_xlfn.TEXTJOIN(_xlpm.sp,TRUE,B3),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盲唖院</v>
      </c>
      <c r="F3" s="5" t="str">
        <v>2. ろうあ協会</v>
      </c>
      <c r="G3" s="5" t="str">
        <v>3. 歴史</v>
      </c>
      <c r="H3" s="5" t="str">
        <v>4. 手話サークル</v>
      </c>
      <c r="I3" s="5" t="str">
        <v>5. 平等</v>
      </c>
      <c r="J3" s="5" t="str">
        <v>6. 教育</v>
      </c>
      <c r="K3" s="5" t="str">
        <v>7. 差別</v>
      </c>
      <c r="L3" s="5" t="str">
        <v>8. 自然</v>
      </c>
      <c r="O3" s="5" t="str" cm="1">
        <f t="array" ref="O3:Q3">_xlfn.LET(_xlpm.sp,",",_xlpm.txt,_xlfn.TEXTJOIN(_xlpm.sp,TRUE,C3),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v>
      </c>
      <c r="P3" s="5" t="str">
        <v>6</v>
      </c>
      <c r="Q3" s="5" t="str">
        <v>7</v>
      </c>
      <c r="S3" s="5" t="str" cm="1">
        <f t="array" ref="S3">"(ア): "&amp;INDEX(_xlfn.ANCHORARRAY(E3),O3)&amp;" (イ): "&amp;INDEX(_xlfn.ANCHORARRAY(E3),P3)&amp;" (ウ): "&amp;INDEX(_xlfn.ANCHORARRAY(E3),Q3)</f>
        <v>(ア): 1. 盲唖院 (イ): 6. 教育 (ウ): 7. 差別</v>
      </c>
      <c r="T3" s="5" t="str">
        <f t="shared" ref="T3:T9" si="0">S3&amp;"。"&amp;D3</f>
        <v>(ア): 1. 盲唖院 (イ): 6. 教育 (ウ): 7. 差別。日本最初の聾学校として1878年に京都盲唖院、1880年には東京に訓盲院が設立され、教育の場で手話が取り入れられました。</v>
      </c>
    </row>
    <row r="4" spans="1:20" ht="126">
      <c r="A4" s="5" t="s">
        <v>279</v>
      </c>
      <c r="B4" s="6" t="s">
        <v>260</v>
      </c>
      <c r="C4" s="5" t="s">
        <v>261</v>
      </c>
      <c r="D4" s="5" t="s">
        <v>262</v>
      </c>
      <c r="E4" s="5" t="str" cm="1">
        <f t="array" ref="E4:L4">_xlfn.LET(_xlpm.sp,CHAR(10),_xlpm.txt,_xlfn.TEXTJOIN(_xlpm.sp,TRUE,B4),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仕事</v>
      </c>
      <c r="F4" s="5" t="str">
        <v>2. 集会</v>
      </c>
      <c r="G4" s="5" t="str">
        <v>3. 活動</v>
      </c>
      <c r="H4" s="5" t="str">
        <v>4. 円滑な</v>
      </c>
      <c r="I4" s="5" t="str">
        <v>5. 一定の</v>
      </c>
      <c r="J4" s="5" t="str">
        <v>6. お互いの</v>
      </c>
      <c r="K4" s="5" t="str">
        <v>7. 共存社会</v>
      </c>
      <c r="L4" s="5" t="str">
        <v>8. 共生社会</v>
      </c>
      <c r="O4" s="5" t="str" cm="1">
        <f t="array" ref="O4:Q4">_xlfn.LET(_xlpm.sp,",",_xlpm.txt,_xlfn.TEXTJOIN(_xlpm.sp,TRUE,C4),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3</v>
      </c>
      <c r="P4" s="5" t="str">
        <v>4</v>
      </c>
      <c r="Q4" s="5" t="str">
        <v>8</v>
      </c>
      <c r="S4" s="5" t="str" cm="1">
        <f t="array" ref="S4">"(ア): "&amp;INDEX(_xlfn.ANCHORARRAY(E4),O4)&amp;" (イ): "&amp;INDEX(_xlfn.ANCHORARRAY(E4),P4)&amp;" (ウ): "&amp;INDEX(_xlfn.ANCHORARRAY(E4),Q4)</f>
        <v>(ア): 3. 活動 (イ): 4. 円滑な (ウ): 8. 共生社会</v>
      </c>
      <c r="T4" s="5" t="str">
        <f t="shared" si="0"/>
        <v>(ア): 3. 活動 (イ): 4. 円滑な (ウ): 8. 共生社会。この法律の目的は「すべての障害者があらゆる分野の活動に参加するためにはその必要とする情報の十分な取得利用・円滑な意思疎通が極めて重要であり、障害者による情報の取得利用・意思疎通にかかる施策を総合的に推進し、共生社会の実現に資する」こととされています。</v>
      </c>
    </row>
    <row r="5" spans="1:20" ht="126">
      <c r="A5" s="5" t="s">
        <v>280</v>
      </c>
      <c r="B5" s="6" t="s">
        <v>263</v>
      </c>
      <c r="C5" s="5" t="s">
        <v>264</v>
      </c>
      <c r="D5" s="5" t="s">
        <v>238</v>
      </c>
      <c r="E5" s="5" t="str" cm="1">
        <f t="array" ref="E5:L5">_xlfn.LET(_xlpm.sp,CHAR(10),_xlpm.txt,_xlfn.TEXTJOIN(_xlpm.sp,TRUE,B5),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手話の位置</v>
      </c>
      <c r="F5" s="5" t="str">
        <v>2. 手指の動き</v>
      </c>
      <c r="G5" s="5" t="str">
        <v>3. 語順</v>
      </c>
      <c r="H5" s="5" t="str">
        <v>4. 趣旨の形</v>
      </c>
      <c r="I5" s="5" t="str">
        <v>5. 頭の動き</v>
      </c>
      <c r="J5" s="5" t="str">
        <v>6. 顔の表情</v>
      </c>
      <c r="K5" s="5" t="str">
        <v>7. 体の向き</v>
      </c>
      <c r="L5" s="5" t="str">
        <v>8. 手のひらの向き</v>
      </c>
      <c r="O5" s="5" t="str" cm="1">
        <f t="array" ref="O5:Q5">_xlfn.LET(_xlpm.sp,",",_xlpm.txt,_xlfn.TEXTJOIN(_xlpm.sp,TRUE,C5),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8</v>
      </c>
      <c r="P5" s="5" t="str">
        <v>1</v>
      </c>
      <c r="Q5" s="5" t="str">
        <v>2</v>
      </c>
      <c r="S5" s="5" t="str" cm="1">
        <f t="array" ref="S5">"(ア): "&amp;INDEX(_xlfn.ANCHORARRAY(E5),O5)&amp;" (イ): "&amp;INDEX(_xlfn.ANCHORARRAY(E5),P5)&amp;" (ウ): "&amp;INDEX(_xlfn.ANCHORARRAY(E5),Q5)</f>
        <v>(ア): 8. 手のひらの向き (イ): 1. 手話の位置 (ウ): 2. 手指の動き</v>
      </c>
      <c r="T5" s="5" t="str">
        <f t="shared" si="0"/>
        <v>(ア): 8. 手のひらの向き (イ): 1. 手話の位置 (ウ): 2. 手指の動き。全日本ろうあ連盟発行「わたしたちの手話 学習辞典1」などを参照。</v>
      </c>
    </row>
    <row r="6" spans="1:20" ht="126">
      <c r="A6" s="5" t="s">
        <v>281</v>
      </c>
      <c r="B6" s="6" t="s">
        <v>265</v>
      </c>
      <c r="C6" s="5" t="s">
        <v>261</v>
      </c>
      <c r="D6" s="5" t="s">
        <v>266</v>
      </c>
      <c r="E6" s="5" t="str" cm="1">
        <f t="array" ref="E6:L6">_xlfn.LET(_xlpm.sp,CHAR(10),_xlpm.txt,_xlfn.TEXTJOIN(_xlpm.sp,TRUE,B6),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全国手話研修センター</v>
      </c>
      <c r="F6" s="5" t="str">
        <v>2. 全国手話通訳問題研究会</v>
      </c>
      <c r="G6" s="5" t="str">
        <v>3. 全日本ろうあ連盟</v>
      </c>
      <c r="H6" s="5" t="str">
        <v>4. イラスト</v>
      </c>
      <c r="I6" s="5" t="str">
        <v>5. 文章</v>
      </c>
      <c r="J6" s="5" t="str">
        <v>6. 日本語対応手話</v>
      </c>
      <c r="K6" s="5" t="str">
        <v>7. 映像</v>
      </c>
      <c r="L6" s="5" t="str">
        <v>8. 標準手話</v>
      </c>
      <c r="O6" s="5" t="str" cm="1">
        <f t="array" ref="O6:Q6">_xlfn.LET(_xlpm.sp,",",_xlpm.txt,_xlfn.TEXTJOIN(_xlpm.sp,TRUE,C6),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3</v>
      </c>
      <c r="P6" s="5" t="str">
        <v>4</v>
      </c>
      <c r="Q6" s="5" t="str">
        <v>8</v>
      </c>
      <c r="S6" s="5" t="str" cm="1">
        <f t="array" ref="S6">"(ア): "&amp;INDEX(_xlfn.ANCHORARRAY(E6),O6)&amp;" (イ): "&amp;INDEX(_xlfn.ANCHORARRAY(E6),P6)&amp;" (ウ): "&amp;INDEX(_xlfn.ANCHORARRAY(E6),Q6)</f>
        <v>(ア): 3. 全日本ろうあ連盟 (イ): 4. イラスト (ウ): 8. 標準手話</v>
      </c>
      <c r="T6" s="5" t="str">
        <f t="shared" si="0"/>
        <v>(ア): 3. 全日本ろうあ連盟 (イ): 4. イラスト (ウ): 8. 標準手話。標準手話の全国的な普及と手話サークルの発展に貢献し、日本手話研究所設立への流れを作りました。</v>
      </c>
    </row>
    <row r="7" spans="1:20" ht="126">
      <c r="A7" s="5" t="s">
        <v>282</v>
      </c>
      <c r="B7" s="6" t="s">
        <v>267</v>
      </c>
      <c r="C7" s="5" t="s">
        <v>268</v>
      </c>
      <c r="D7" s="5" t="s">
        <v>269</v>
      </c>
      <c r="E7" s="5" t="str" cm="1">
        <f t="array" ref="E7:L7">_xlfn.LET(_xlpm.sp,CHAR(10),_xlpm.txt,_xlfn.TEXTJOIN(_xlpm.sp,TRUE,B7),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障害者年金手帳</v>
      </c>
      <c r="F7" s="5" t="str">
        <v>2. 身体障害者手帳</v>
      </c>
      <c r="G7" s="5" t="str">
        <v>3. 厚生年金手帳</v>
      </c>
      <c r="H7" s="5" t="str">
        <v>4. 筆談ボード</v>
      </c>
      <c r="I7" s="5" t="str">
        <v>5. 補聴器</v>
      </c>
      <c r="J7" s="5" t="str">
        <v>6. 携帯電話</v>
      </c>
      <c r="K7" s="5" t="str">
        <v>7. 40デシベル</v>
      </c>
      <c r="L7" s="5" t="str">
        <v>8. 70デシベル</v>
      </c>
      <c r="O7" s="5" t="str" cm="1">
        <f t="array" ref="O7:Q7">_xlfn.LET(_xlpm.sp,",",_xlpm.txt,_xlfn.TEXTJOIN(_xlpm.sp,TRUE,C7),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2</v>
      </c>
      <c r="P7" s="5" t="str">
        <v>5</v>
      </c>
      <c r="Q7" s="5" t="str">
        <v>8</v>
      </c>
      <c r="S7" s="5" t="str" cm="1">
        <f t="array" ref="S7">"(ア): "&amp;INDEX(_xlfn.ANCHORARRAY(E7),O7)&amp;" (イ): "&amp;INDEX(_xlfn.ANCHORARRAY(E7),P7)&amp;" (ウ): "&amp;INDEX(_xlfn.ANCHORARRAY(E7),Q7)</f>
        <v>(ア): 2. 身体障害者手帳 (イ): 5. 補聴器 (ウ): 8. 70デシベル</v>
      </c>
      <c r="T7" s="5" t="str">
        <f t="shared" si="0"/>
        <v>(ア): 2. 身体障害者手帳 (イ): 5. 補聴器 (ウ): 8. 70デシベル。現在、軽度・中度難聴者に対する補聴器購入費助成に取り組む自治体は増えていますが、少ない状況です。対象年齢が全年齢・65歳以上、18歳以上など自治体によってばらばらです。</v>
      </c>
    </row>
    <row r="8" spans="1:20" ht="126">
      <c r="A8" s="5" t="s">
        <v>283</v>
      </c>
      <c r="B8" s="6" t="s">
        <v>270</v>
      </c>
      <c r="C8" s="5" t="s">
        <v>271</v>
      </c>
      <c r="D8" s="5" t="s">
        <v>272</v>
      </c>
      <c r="E8" s="5" t="str" cm="1">
        <f t="array" ref="E8:L8">_xlfn.LET(_xlpm.sp,CHAR(10),_xlpm.txt,_xlfn.TEXTJOIN(_xlpm.sp,TRUE,B8),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頭脳</v>
      </c>
      <c r="F8" s="5" t="str">
        <v>2. ことば</v>
      </c>
      <c r="G8" s="5" t="str">
        <v>3. 声の調子</v>
      </c>
      <c r="H8" s="5" t="str">
        <v>4. 指文字</v>
      </c>
      <c r="I8" s="5" t="str">
        <v>5. 言語コミュニケーション</v>
      </c>
      <c r="J8" s="5" t="str">
        <v>6. 非言語コミュニケーション</v>
      </c>
      <c r="K8" s="5" t="str">
        <v>7. 文字</v>
      </c>
      <c r="L8" s="5" t="str">
        <v>8. メール</v>
      </c>
      <c r="O8" s="5" t="str" cm="1">
        <f t="array" ref="O8:Q8">_xlfn.LET(_xlpm.sp,",",_xlpm.txt,_xlfn.TEXTJOIN(_xlpm.sp,TRUE,C8),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2</v>
      </c>
      <c r="P8" s="5" t="str">
        <v>6</v>
      </c>
      <c r="Q8" s="5" t="str">
        <v>3</v>
      </c>
      <c r="S8" s="5" t="str" cm="1">
        <f t="array" ref="S8">"(ア): "&amp;INDEX(_xlfn.ANCHORARRAY(E8),O8)&amp;" (イ): "&amp;INDEX(_xlfn.ANCHORARRAY(E8),P8)&amp;" (ウ): "&amp;INDEX(_xlfn.ANCHORARRAY(E8),Q8)</f>
        <v>(ア): 2. ことば (イ): 6. 非言語コミュニケーション (ウ): 3. 声の調子</v>
      </c>
      <c r="T8" s="5" t="str">
        <f t="shared" si="0"/>
        <v>(ア): 2. ことば (イ): 6. 非言語コミュニケーション (ウ): 3. 声の調子。言葉以外の手段を使って伝える非言語コミュニケーションをうまく使うことで相手により分かりやすく伝えることもあります。</v>
      </c>
    </row>
    <row r="9" spans="1:20" ht="126">
      <c r="A9" s="5" t="s">
        <v>284</v>
      </c>
      <c r="B9" s="6" t="s">
        <v>273</v>
      </c>
      <c r="C9" s="5" t="s">
        <v>274</v>
      </c>
      <c r="D9" s="5" t="s">
        <v>275</v>
      </c>
      <c r="E9" s="5" t="str" cm="1">
        <f t="array" ref="E9:L9">_xlfn.LET(_xlpm.sp,CHAR(10),_xlpm.txt,_xlfn.TEXTJOIN(_xlpm.sp,TRUE,B9),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1. 視覚化</v>
      </c>
      <c r="F9" s="5" t="str">
        <v>2. 視覚</v>
      </c>
      <c r="G9" s="5" t="str">
        <v>3. 聴覚</v>
      </c>
      <c r="H9" s="5" t="str">
        <v>4. 標準化</v>
      </c>
      <c r="I9" s="5" t="str">
        <v>5. 方言</v>
      </c>
      <c r="J9" s="5" t="str">
        <v>6. 概念</v>
      </c>
      <c r="K9" s="5" t="str">
        <v>7. 筆談</v>
      </c>
      <c r="L9" s="5" t="str">
        <v>8. 手話</v>
      </c>
      <c r="O9" s="5" t="str" cm="1">
        <f t="array" ref="O9:Q9">_xlfn.LET(_xlpm.sp,",",_xlpm.txt,_xlfn.TEXTJOIN(_xlpm.sp,TRUE,C9),_xlpm.pre_sp,_xlpm.sp&amp;_xlpm.txt,_xlpm.post_sp,_xlpm.txt&amp;_xlpm.sp,_xlpm.x,_xlfn._xlws.FILTER((MID(_xlpm.pre_sp,_xlfn.SEQUENCE(LEN(_xlpm.pre_sp)),1)=_xlpm.sp)*(_xlfn.SEQUENCE(LEN(_xlpm.pre_sp))),(MID(_xlpm.pre_sp,_xlfn.SEQUENCE(LEN(_xlpm.pre_sp)),1)=_xlpm.sp)*(_xlfn.SEQUENCE(LEN(_xlpm.pre_sp)))&gt;0,),_xlpm.y,_xlfn._xlws.FILTER((MID(_xlpm.post_sp,_xlfn.SEQUENCE(LEN(_xlpm.post_sp)),1)=_xlpm.sp)*(_xlfn.SEQUENCE(LEN(_xlpm.post_sp))),(MID(_xlpm.post_sp,_xlfn.SEQUENCE(LEN(_xlpm.post_sp)),1)=_xlpm.sp)*(_xlfn.SEQUENCE(LEN(_xlpm.post_sp)))&gt;0,),TRANSPOSE(MID(_xlpm.txt,_xlpm.x,_xlpm.y-_xlpm.x)))</f>
        <v>8</v>
      </c>
      <c r="P9" s="5" t="str">
        <v>3</v>
      </c>
      <c r="Q9" s="5" t="str">
        <v>1</v>
      </c>
      <c r="S9" s="5" t="str" cm="1">
        <f t="array" ref="S9">"(ア): "&amp;INDEX(_xlfn.ANCHORARRAY(E9),O9)&amp;" (イ): "&amp;INDEX(_xlfn.ANCHORARRAY(E9),P9)&amp;" (ウ): "&amp;INDEX(_xlfn.ANCHORARRAY(E9),Q9)</f>
        <v>(ア): 8. 手話 (イ): 3. 聴覚 (ウ): 1. 視覚化</v>
      </c>
      <c r="T9" s="5" t="str">
        <f t="shared" si="0"/>
        <v>(ア): 8. 手話 (イ): 3. 聴覚 (ウ): 1. 視覚化。ろう者は音声言語を視覚化した文字を見て理解できますが耳から入る情報で文字の理解を深めたりすることができないこともあり、文字は苦手だという方がいます。聴覚で知る情報を視覚化すれば聞こえない人・聞こえにくい人はもちろん、聞こえる人にも優しい社会になるでしょう。</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shuwa</vt:lpstr>
      <vt:lpstr>writing</vt:lpstr>
      <vt:lpstr>筆記２級関数</vt:lpstr>
      <vt:lpstr>筆記準１級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 yamada</dc:creator>
  <cp:lastModifiedBy>ken yamada</cp:lastModifiedBy>
  <dcterms:created xsi:type="dcterms:W3CDTF">2015-06-05T18:19:34Z</dcterms:created>
  <dcterms:modified xsi:type="dcterms:W3CDTF">2024-09-21T02:08:52Z</dcterms:modified>
</cp:coreProperties>
</file>