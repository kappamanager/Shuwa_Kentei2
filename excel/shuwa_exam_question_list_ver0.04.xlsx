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029"/>
  <workbookPr codeName="ThisWorkbook"/>
  <mc:AlternateContent xmlns:mc="http://schemas.openxmlformats.org/markup-compatibility/2006">
    <mc:Choice Requires="x15">
      <x15ac:absPath xmlns:x15ac="http://schemas.microsoft.com/office/spreadsheetml/2010/11/ac" url="K:\マイドライブ\かつおーず\011_Creation\WebSite\shuwa_exam_site\excel\"/>
    </mc:Choice>
  </mc:AlternateContent>
  <xr:revisionPtr revIDLastSave="0" documentId="13_ncr:1_{397E5CBB-C131-4550-B63D-98D1E853F450}" xr6:coauthVersionLast="47" xr6:coauthVersionMax="47" xr10:uidLastSave="{00000000-0000-0000-0000-000000000000}"/>
  <bookViews>
    <workbookView xWindow="-22710" yWindow="1860" windowWidth="21600" windowHeight="11295" xr2:uid="{00000000-000D-0000-FFFF-FFFF00000000}"/>
  </bookViews>
  <sheets>
    <sheet name="shuwa" sheetId="2" r:id="rId1"/>
    <sheet name="writing" sheetId="1" r:id="rId2"/>
    <sheet name="Reference" sheetId="5" r:id="rId3"/>
    <sheet name="Sheet1" sheetId="6" r:id="rId4"/>
  </sheets>
  <definedNames>
    <definedName name="_xlnm._FilterDatabase" localSheetId="3" hidden="1">Sheet1!$C$3:$D$23</definedName>
    <definedName name="_xlnm._FilterDatabase" localSheetId="0" hidden="1">shuwa!$A$1:$K$317</definedName>
    <definedName name="_xlnm._FilterDatabase" localSheetId="1" hidden="1">writing!$A$1:$I$65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280" i="2" l="1"/>
  <c r="E280" i="2"/>
  <c r="A281" i="2"/>
  <c r="E281" i="2"/>
  <c r="A66" i="1"/>
  <c r="A67" i="1"/>
  <c r="A68" i="1"/>
  <c r="A69" i="1"/>
  <c r="A71" i="1"/>
  <c r="A72" i="1"/>
  <c r="A73" i="1"/>
  <c r="A70" i="1"/>
  <c r="A236" i="2"/>
  <c r="E236" i="2"/>
  <c r="A227" i="2"/>
  <c r="E227" i="2"/>
  <c r="A228" i="2"/>
  <c r="E228" i="2"/>
  <c r="A65" i="1"/>
  <c r="A64" i="1"/>
  <c r="A63" i="1"/>
  <c r="A61" i="1"/>
  <c r="A62" i="1"/>
  <c r="A60" i="1"/>
  <c r="A58" i="1"/>
  <c r="A59" i="1"/>
  <c r="A57" i="1"/>
  <c r="A37" i="1"/>
  <c r="A38" i="1"/>
  <c r="A39" i="1"/>
  <c r="A40" i="1"/>
  <c r="A41" i="1"/>
  <c r="A42" i="1"/>
  <c r="A43" i="1"/>
  <c r="A44" i="1"/>
  <c r="A45" i="1"/>
  <c r="A46" i="1"/>
  <c r="A47" i="1"/>
  <c r="A48" i="1"/>
  <c r="A49" i="1"/>
  <c r="A50" i="1"/>
  <c r="A51" i="1"/>
  <c r="A52" i="1"/>
  <c r="A53" i="1"/>
  <c r="A54" i="1"/>
  <c r="A55" i="1"/>
  <c r="A56" i="1"/>
  <c r="A35" i="1"/>
  <c r="A36" i="1"/>
  <c r="A306" i="2"/>
  <c r="E306" i="2"/>
  <c r="A307" i="2"/>
  <c r="E307" i="2"/>
  <c r="A308" i="2"/>
  <c r="E308" i="2"/>
  <c r="A309" i="2"/>
  <c r="E309" i="2"/>
  <c r="A310" i="2"/>
  <c r="E310" i="2"/>
  <c r="A311" i="2"/>
  <c r="E311" i="2"/>
  <c r="A292" i="2"/>
  <c r="E292" i="2"/>
  <c r="A293" i="2"/>
  <c r="E293" i="2"/>
  <c r="A294" i="2"/>
  <c r="E294" i="2"/>
  <c r="A295" i="2"/>
  <c r="E295" i="2"/>
  <c r="A296" i="2"/>
  <c r="E296" i="2"/>
  <c r="A297" i="2"/>
  <c r="E297" i="2"/>
  <c r="A298" i="2"/>
  <c r="E298" i="2"/>
  <c r="A299" i="2"/>
  <c r="E299" i="2"/>
  <c r="A300" i="2"/>
  <c r="E300" i="2"/>
  <c r="A301" i="2"/>
  <c r="E301" i="2"/>
  <c r="A302" i="2"/>
  <c r="E302" i="2"/>
  <c r="A303" i="2"/>
  <c r="E303" i="2"/>
  <c r="A304" i="2"/>
  <c r="E304" i="2"/>
  <c r="A305" i="2"/>
  <c r="E305" i="2"/>
  <c r="A291" i="2"/>
  <c r="E291" i="2"/>
  <c r="A271" i="2"/>
  <c r="E271" i="2"/>
  <c r="A272" i="2"/>
  <c r="E272" i="2"/>
  <c r="A273" i="2"/>
  <c r="E273" i="2"/>
  <c r="A274" i="2"/>
  <c r="E274" i="2"/>
  <c r="A275" i="2"/>
  <c r="E275" i="2"/>
  <c r="A276" i="2"/>
  <c r="E276" i="2"/>
  <c r="A277" i="2"/>
  <c r="E277" i="2"/>
  <c r="A278" i="2"/>
  <c r="E278" i="2"/>
  <c r="A279" i="2"/>
  <c r="E279" i="2"/>
  <c r="A282" i="2"/>
  <c r="E282" i="2"/>
  <c r="A283" i="2"/>
  <c r="E283" i="2"/>
  <c r="A284" i="2"/>
  <c r="E284" i="2"/>
  <c r="A285" i="2"/>
  <c r="E285" i="2"/>
  <c r="A286" i="2"/>
  <c r="E286" i="2"/>
  <c r="A287" i="2"/>
  <c r="E287" i="2"/>
  <c r="A288" i="2"/>
  <c r="E288" i="2"/>
  <c r="A289" i="2"/>
  <c r="E289" i="2"/>
  <c r="A290" i="2"/>
  <c r="E290" i="2"/>
  <c r="E270" i="2"/>
  <c r="A270" i="2"/>
  <c r="A258" i="2"/>
  <c r="E258" i="2"/>
  <c r="A259" i="2"/>
  <c r="E259" i="2"/>
  <c r="A260" i="2"/>
  <c r="E260" i="2"/>
  <c r="A261" i="2"/>
  <c r="E261" i="2"/>
  <c r="A262" i="2"/>
  <c r="E262" i="2"/>
  <c r="A263" i="2"/>
  <c r="E263" i="2"/>
  <c r="A264" i="2"/>
  <c r="E264" i="2"/>
  <c r="A265" i="2"/>
  <c r="E265" i="2"/>
  <c r="A266" i="2"/>
  <c r="E266" i="2"/>
  <c r="A267" i="2"/>
  <c r="E267" i="2"/>
  <c r="A268" i="2"/>
  <c r="E268" i="2"/>
  <c r="A269" i="2"/>
  <c r="E269" i="2"/>
  <c r="E257" i="2"/>
  <c r="A257" i="2"/>
  <c r="A248" i="2"/>
  <c r="E248" i="2"/>
  <c r="A249" i="2"/>
  <c r="E249" i="2"/>
  <c r="A250" i="2"/>
  <c r="E250" i="2"/>
  <c r="A251" i="2"/>
  <c r="E251" i="2"/>
  <c r="A252" i="2"/>
  <c r="E252" i="2"/>
  <c r="A253" i="2"/>
  <c r="E253" i="2"/>
  <c r="A254" i="2"/>
  <c r="E254" i="2"/>
  <c r="A255" i="2"/>
  <c r="E255" i="2"/>
  <c r="A256" i="2"/>
  <c r="E256" i="2"/>
  <c r="E247" i="2"/>
  <c r="A247" i="2"/>
  <c r="A238" i="2"/>
  <c r="E238" i="2"/>
  <c r="A239" i="2"/>
  <c r="E239" i="2"/>
  <c r="A240" i="2"/>
  <c r="E240" i="2"/>
  <c r="A241" i="2"/>
  <c r="E241" i="2"/>
  <c r="A242" i="2"/>
  <c r="E242" i="2"/>
  <c r="A243" i="2"/>
  <c r="E243" i="2"/>
  <c r="A244" i="2"/>
  <c r="E244" i="2"/>
  <c r="A245" i="2"/>
  <c r="E245" i="2"/>
  <c r="A246" i="2"/>
  <c r="E246" i="2"/>
  <c r="E237" i="2"/>
  <c r="A237" i="2"/>
  <c r="A230" i="2"/>
  <c r="E230" i="2"/>
  <c r="A231" i="2"/>
  <c r="E231" i="2"/>
  <c r="A232" i="2"/>
  <c r="E232" i="2"/>
  <c r="A233" i="2"/>
  <c r="E233" i="2"/>
  <c r="A234" i="2"/>
  <c r="E234" i="2"/>
  <c r="A235" i="2"/>
  <c r="E235" i="2"/>
  <c r="E229" i="2"/>
  <c r="A229" i="2"/>
  <c r="A222" i="2"/>
  <c r="E222" i="2"/>
  <c r="A223" i="2"/>
  <c r="E223" i="2"/>
  <c r="A224" i="2"/>
  <c r="E224" i="2"/>
  <c r="A225" i="2"/>
  <c r="E225" i="2"/>
  <c r="A226" i="2"/>
  <c r="E226" i="2"/>
  <c r="E221" i="2"/>
  <c r="A221" i="2"/>
  <c r="A202" i="2"/>
  <c r="E202" i="2"/>
  <c r="A203" i="2"/>
  <c r="E203" i="2"/>
  <c r="A204" i="2"/>
  <c r="E204" i="2"/>
  <c r="A205" i="2"/>
  <c r="E205" i="2"/>
  <c r="A206" i="2"/>
  <c r="E206" i="2"/>
  <c r="A207" i="2"/>
  <c r="E207" i="2"/>
  <c r="A208" i="2"/>
  <c r="E208" i="2"/>
  <c r="A209" i="2"/>
  <c r="E209" i="2"/>
  <c r="A210" i="2"/>
  <c r="E210" i="2"/>
  <c r="A211" i="2"/>
  <c r="E211" i="2"/>
  <c r="A212" i="2"/>
  <c r="E212" i="2"/>
  <c r="A213" i="2"/>
  <c r="E213" i="2"/>
  <c r="A214" i="2"/>
  <c r="E214" i="2"/>
  <c r="A215" i="2"/>
  <c r="E215" i="2"/>
  <c r="A216" i="2"/>
  <c r="E216" i="2"/>
  <c r="A217" i="2"/>
  <c r="E217" i="2"/>
  <c r="A218" i="2"/>
  <c r="E218" i="2"/>
  <c r="A219" i="2"/>
  <c r="E219" i="2"/>
  <c r="A220" i="2"/>
  <c r="E220" i="2"/>
  <c r="E201" i="2"/>
  <c r="A201"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E172" i="2"/>
  <c r="E173" i="2"/>
  <c r="E174" i="2"/>
  <c r="E175" i="2"/>
  <c r="E176" i="2"/>
  <c r="E177" i="2"/>
  <c r="E178" i="2"/>
  <c r="E179" i="2"/>
  <c r="E180" i="2"/>
  <c r="E181" i="2"/>
  <c r="E182" i="2"/>
  <c r="E183" i="2"/>
  <c r="E184" i="2"/>
  <c r="E185" i="2"/>
  <c r="E186" i="2"/>
  <c r="E187" i="2"/>
  <c r="E188" i="2"/>
  <c r="E189" i="2"/>
  <c r="E190" i="2"/>
  <c r="E191" i="2"/>
  <c r="E192" i="2"/>
  <c r="E193" i="2"/>
  <c r="E194" i="2"/>
  <c r="E195" i="2"/>
  <c r="E196" i="2"/>
  <c r="E197" i="2"/>
  <c r="E198" i="2"/>
  <c r="E199" i="2"/>
  <c r="E200" i="2"/>
  <c r="E171" i="2"/>
  <c r="A312" i="2"/>
  <c r="A313" i="2"/>
  <c r="A314" i="2"/>
  <c r="A315" i="2"/>
  <c r="A316" i="2"/>
  <c r="A317" i="2"/>
  <c r="E313" i="2"/>
  <c r="E314" i="2"/>
  <c r="E315" i="2"/>
  <c r="E316" i="2"/>
  <c r="E317" i="2"/>
  <c r="E312" i="2"/>
  <c r="A141" i="2"/>
  <c r="E141" i="2"/>
  <c r="A142" i="2"/>
  <c r="E142" i="2"/>
  <c r="A143" i="2"/>
  <c r="E143" i="2"/>
  <c r="A144" i="2"/>
  <c r="E144" i="2"/>
  <c r="A145" i="2"/>
  <c r="E145" i="2"/>
  <c r="A146" i="2"/>
  <c r="E146" i="2"/>
  <c r="A147" i="2"/>
  <c r="E147" i="2"/>
  <c r="A148" i="2"/>
  <c r="E148" i="2"/>
  <c r="A149" i="2"/>
  <c r="E149" i="2"/>
  <c r="A150" i="2"/>
  <c r="E150" i="2"/>
  <c r="A151" i="2"/>
  <c r="E151" i="2"/>
  <c r="A152" i="2"/>
  <c r="E152" i="2"/>
  <c r="A153" i="2"/>
  <c r="E153" i="2"/>
  <c r="A154" i="2"/>
  <c r="E154" i="2"/>
  <c r="A155" i="2"/>
  <c r="E155" i="2"/>
  <c r="A156" i="2"/>
  <c r="E156" i="2"/>
  <c r="A157" i="2"/>
  <c r="E157" i="2"/>
  <c r="A158" i="2"/>
  <c r="E158" i="2"/>
  <c r="A159" i="2"/>
  <c r="E159" i="2"/>
  <c r="A160" i="2"/>
  <c r="E160" i="2"/>
  <c r="A161" i="2"/>
  <c r="E161" i="2"/>
  <c r="A162" i="2"/>
  <c r="E162" i="2"/>
  <c r="A163" i="2"/>
  <c r="E163" i="2"/>
  <c r="A164" i="2"/>
  <c r="E164" i="2"/>
  <c r="A165" i="2"/>
  <c r="E165" i="2"/>
  <c r="A166" i="2"/>
  <c r="E166" i="2"/>
  <c r="A167" i="2"/>
  <c r="E167" i="2"/>
  <c r="A168" i="2"/>
  <c r="E168" i="2"/>
  <c r="A169" i="2"/>
  <c r="E169" i="2"/>
  <c r="A170" i="2"/>
  <c r="E170" i="2"/>
  <c r="E3" i="2"/>
  <c r="E4" i="2"/>
  <c r="E5" i="2"/>
  <c r="E6" i="2"/>
  <c r="E7" i="2"/>
  <c r="E8" i="2"/>
  <c r="E9" i="2"/>
  <c r="E10" i="2"/>
  <c r="E11"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0" i="2"/>
  <c r="E51" i="2"/>
  <c r="E52" i="2"/>
  <c r="E53" i="2"/>
  <c r="E54" i="2"/>
  <c r="E55" i="2"/>
  <c r="E56" i="2"/>
  <c r="E57" i="2"/>
  <c r="E58" i="2"/>
  <c r="E59" i="2"/>
  <c r="E60" i="2"/>
  <c r="E61" i="2"/>
  <c r="E62" i="2"/>
  <c r="E63" i="2"/>
  <c r="E64" i="2"/>
  <c r="E65" i="2"/>
  <c r="E66" i="2"/>
  <c r="E67" i="2"/>
  <c r="E68" i="2"/>
  <c r="E69" i="2"/>
  <c r="E70" i="2"/>
  <c r="E71" i="2"/>
  <c r="E72" i="2"/>
  <c r="E73" i="2"/>
  <c r="E74" i="2"/>
  <c r="E75" i="2"/>
  <c r="E76" i="2"/>
  <c r="E77" i="2"/>
  <c r="E78" i="2"/>
  <c r="E79" i="2"/>
  <c r="E80" i="2"/>
  <c r="E81" i="2"/>
  <c r="E82" i="2"/>
  <c r="E83" i="2"/>
  <c r="E84" i="2"/>
  <c r="E85" i="2"/>
  <c r="E86" i="2"/>
  <c r="E87" i="2"/>
  <c r="E88" i="2"/>
  <c r="E89" i="2"/>
  <c r="E90" i="2"/>
  <c r="E91" i="2"/>
  <c r="E92" i="2"/>
  <c r="E93" i="2"/>
  <c r="E94" i="2"/>
  <c r="E95" i="2"/>
  <c r="E96" i="2"/>
  <c r="E97" i="2"/>
  <c r="E98" i="2"/>
  <c r="E99" i="2"/>
  <c r="E100" i="2"/>
  <c r="E101" i="2"/>
  <c r="E102" i="2"/>
  <c r="E103" i="2"/>
  <c r="E104" i="2"/>
  <c r="E105" i="2"/>
  <c r="E106" i="2"/>
  <c r="E107" i="2"/>
  <c r="E108" i="2"/>
  <c r="E109" i="2"/>
  <c r="E110" i="2"/>
  <c r="E111" i="2"/>
  <c r="E112" i="2"/>
  <c r="E113" i="2"/>
  <c r="E114" i="2"/>
  <c r="E115" i="2"/>
  <c r="E116" i="2"/>
  <c r="E117" i="2"/>
  <c r="E118" i="2"/>
  <c r="E119" i="2"/>
  <c r="E120" i="2"/>
  <c r="E121" i="2"/>
  <c r="E122" i="2"/>
  <c r="E123" i="2"/>
  <c r="E124" i="2"/>
  <c r="E125" i="2"/>
  <c r="E126" i="2"/>
  <c r="E127" i="2"/>
  <c r="E128" i="2"/>
  <c r="E129" i="2"/>
  <c r="E130" i="2"/>
  <c r="E131" i="2"/>
  <c r="E132" i="2"/>
  <c r="E133" i="2"/>
  <c r="E134" i="2"/>
  <c r="E135" i="2"/>
  <c r="E136" i="2"/>
  <c r="E137" i="2"/>
  <c r="E138" i="2"/>
  <c r="E139" i="2"/>
  <c r="E140" i="2"/>
  <c r="E2" i="2"/>
  <c r="A135" i="2"/>
  <c r="A136" i="2"/>
  <c r="A137" i="2"/>
  <c r="A138" i="2"/>
  <c r="A139" i="2"/>
  <c r="A140" i="2"/>
  <c r="A124" i="2"/>
  <c r="A125" i="2"/>
  <c r="A126" i="2"/>
  <c r="A127" i="2"/>
  <c r="A128" i="2"/>
  <c r="A129" i="2"/>
  <c r="A130" i="2"/>
  <c r="A131" i="2"/>
  <c r="A111" i="2"/>
  <c r="A112" i="2"/>
  <c r="A113" i="2"/>
  <c r="A114" i="2"/>
  <c r="A115" i="2"/>
  <c r="A116" i="2"/>
  <c r="A117" i="2"/>
  <c r="A118" i="2"/>
  <c r="A86" i="2"/>
  <c r="A87" i="2"/>
  <c r="A88" i="2"/>
  <c r="A89" i="2"/>
  <c r="A90" i="2"/>
  <c r="A91" i="2"/>
  <c r="A92" i="2"/>
  <c r="A93" i="2"/>
  <c r="A94" i="2"/>
  <c r="A95" i="2"/>
  <c r="A96" i="2"/>
  <c r="A97" i="2"/>
  <c r="A98" i="2"/>
  <c r="A99" i="2"/>
  <c r="A100" i="2"/>
  <c r="A101" i="2"/>
  <c r="A102" i="2"/>
  <c r="A103" i="2"/>
  <c r="A104" i="2"/>
  <c r="A105" i="2"/>
  <c r="A106" i="2"/>
  <c r="A107" i="2"/>
  <c r="A108" i="2"/>
  <c r="A109" i="2"/>
  <c r="A110" i="2"/>
  <c r="A119" i="2"/>
  <c r="A120" i="2"/>
  <c r="A121" i="2"/>
  <c r="A122" i="2"/>
  <c r="A123" i="2"/>
  <c r="A132" i="2"/>
  <c r="A133" i="2"/>
  <c r="A134" i="2"/>
  <c r="A80" i="2"/>
  <c r="A81" i="2"/>
  <c r="A82" i="2"/>
  <c r="A83" i="2"/>
  <c r="A84" i="2"/>
  <c r="A85" i="2"/>
  <c r="A76" i="2"/>
  <c r="A77" i="2"/>
  <c r="A78" i="2"/>
  <c r="A79" i="2"/>
  <c r="A27" i="1"/>
  <c r="A28" i="1"/>
  <c r="A29" i="1"/>
  <c r="A30" i="1"/>
  <c r="A31" i="1"/>
  <c r="A32" i="1"/>
  <c r="A33" i="1"/>
  <c r="A34" i="1"/>
  <c r="A22" i="1"/>
  <c r="A23" i="1"/>
  <c r="A24" i="1"/>
  <c r="A25" i="1"/>
  <c r="A26" i="1"/>
  <c r="A20" i="1"/>
  <c r="A21" i="1"/>
  <c r="A3" i="1"/>
  <c r="A4" i="1"/>
  <c r="A5" i="1"/>
  <c r="A6" i="1"/>
  <c r="A7" i="1"/>
  <c r="A8" i="1"/>
  <c r="A9" i="1"/>
  <c r="A10" i="1"/>
  <c r="A11" i="1"/>
  <c r="A12" i="1"/>
  <c r="A13" i="1"/>
  <c r="A14" i="1"/>
  <c r="A15" i="1"/>
  <c r="A16" i="1"/>
  <c r="A17" i="1"/>
  <c r="A18" i="1"/>
  <c r="A19" i="1"/>
  <c r="A2" i="1"/>
  <c r="A8" i="2"/>
  <c r="A7" i="2"/>
  <c r="A6" i="2"/>
  <c r="A5" i="2"/>
  <c r="A4" i="2"/>
  <c r="A3" i="2"/>
  <c r="A2" i="2"/>
  <c r="A37" i="2"/>
  <c r="A36" i="2"/>
  <c r="A35" i="2"/>
  <c r="A34" i="2"/>
  <c r="A33" i="2"/>
  <c r="A32" i="2"/>
  <c r="A31" i="2"/>
  <c r="A30" i="2"/>
  <c r="A29" i="2"/>
  <c r="A28" i="2"/>
  <c r="A27" i="2"/>
  <c r="A26" i="2"/>
  <c r="A25" i="2"/>
  <c r="A24" i="2"/>
  <c r="A23" i="2"/>
  <c r="A22" i="2"/>
  <c r="A51" i="2"/>
  <c r="A50" i="2"/>
  <c r="A49" i="2"/>
  <c r="A48" i="2"/>
  <c r="A47" i="2"/>
  <c r="A46" i="2"/>
  <c r="A45" i="2"/>
  <c r="A44" i="2"/>
  <c r="A43" i="2"/>
  <c r="A42" i="2"/>
  <c r="A41" i="2"/>
  <c r="A40" i="2"/>
  <c r="A39" i="2"/>
  <c r="A38" i="2"/>
  <c r="A63" i="2"/>
  <c r="A62" i="2"/>
  <c r="A61" i="2"/>
  <c r="A60" i="2"/>
  <c r="A59" i="2"/>
  <c r="A58" i="2"/>
  <c r="A57" i="2"/>
  <c r="A56" i="2"/>
  <c r="A55" i="2"/>
  <c r="A54" i="2"/>
  <c r="A53" i="2"/>
  <c r="A52" i="2"/>
  <c r="A75" i="2"/>
  <c r="A74" i="2"/>
  <c r="A73" i="2"/>
  <c r="A72" i="2"/>
  <c r="A71" i="2"/>
  <c r="A70" i="2"/>
  <c r="A69" i="2"/>
  <c r="A68" i="2"/>
  <c r="A67" i="2"/>
  <c r="A66" i="2"/>
  <c r="A65" i="2"/>
  <c r="A64" i="2"/>
  <c r="A21" i="2"/>
  <c r="A20" i="2"/>
  <c r="A19" i="2"/>
  <c r="A18" i="2"/>
  <c r="A17" i="2"/>
  <c r="A16" i="2"/>
  <c r="A15" i="2"/>
  <c r="A14" i="2"/>
  <c r="A13" i="2"/>
  <c r="A12" i="2"/>
  <c r="A11" i="2"/>
  <c r="A10" i="2"/>
  <c r="A9" i="2"/>
</calcChain>
</file>

<file path=xl/sharedStrings.xml><?xml version="1.0" encoding="utf-8"?>
<sst xmlns="http://schemas.openxmlformats.org/spreadsheetml/2006/main" count="2209" uniqueCount="1191">
  <si>
    <t>#</t>
    <phoneticPr fontId="2"/>
  </si>
  <si>
    <t>Level</t>
    <phoneticPr fontId="2"/>
  </si>
  <si>
    <t>Theme</t>
    <phoneticPr fontId="2"/>
  </si>
  <si>
    <t>Reference</t>
    <phoneticPr fontId="2"/>
  </si>
  <si>
    <t>◎旅行の思い出を話してください。</t>
  </si>
  <si>
    <t>◎先週の日曜日は何をしましたか。</t>
  </si>
  <si>
    <t>◎今年の思い出を話してください。</t>
  </si>
  <si>
    <t>◎年末年始の過ごし方を話してください。</t>
  </si>
  <si>
    <t>◎あなたの１日について話してください。昨日は何をしましたか?</t>
  </si>
  <si>
    <t>◎夏の思い出について話してください。</t>
  </si>
  <si>
    <t>◎今年、あなたが一番楽しかったことは?</t>
  </si>
  <si>
    <t>◎１週間の出来事について話してください。</t>
  </si>
  <si>
    <t>◎この１年間の出来事について話してください。</t>
  </si>
  <si>
    <t>◎１日の生活について話してください。</t>
  </si>
  <si>
    <t>◎連休の過ごし方について話してください。正月、連休、夏休み、冬休み。</t>
  </si>
  <si>
    <t>◎今年の出来事を話してください。</t>
  </si>
  <si>
    <t>◎先週の出来事を話してください。</t>
  </si>
  <si>
    <t>◎県知事記者会見の手話通訳など、ろう者の情報保障について考えていることを話してください。</t>
  </si>
  <si>
    <t>◎新しい手話の創作と普及について、あなたの考えを述べてください。</t>
  </si>
  <si>
    <t>◎手話言語の普及、広がりについてどう思いますか。</t>
  </si>
  <si>
    <t>◎手話を学ぶ魅力について。</t>
  </si>
  <si>
    <t>◎少子高齢化についてあなたの考えを話してください。</t>
  </si>
  <si>
    <t>◎防災について、あなたが思うことを話してください。</t>
  </si>
  <si>
    <t>◎生活、文化、伝統など日本の良いと思うところを話してください。</t>
  </si>
  <si>
    <t>◎スマートフォン、携帯電話での連絡コミュニケーションが広がってます。あなたはどう思いますか。</t>
  </si>
  <si>
    <t>◎環境問題についてあなたの考えを話してください。</t>
  </si>
  <si>
    <t>◎節電対策について話してください。</t>
  </si>
  <si>
    <t>◎東日本大震災について思うことを話してください。</t>
  </si>
  <si>
    <t>◎あなたが今まで学習活動をしてきて感じた手話の魅力について考えていること。</t>
  </si>
  <si>
    <t>準1</t>
    <rPh sb="0" eb="1">
      <t>ジュン</t>
    </rPh>
    <phoneticPr fontId="2"/>
  </si>
  <si>
    <t>◎コロナ渦が収束したら、あなたはどんなことをしたいですか。また、どんな活動をしたいですか。</t>
  </si>
  <si>
    <t>◎新型コロナウイルスで外出自粛の際、どのように過ごしていましたか。</t>
  </si>
  <si>
    <t>◎最近の交通事故、交通安全についてどう思いますか。</t>
  </si>
  <si>
    <t>◎聞こえない人や手話ついてまわりの人に話すとしたらどんなことを話しますか。</t>
  </si>
  <si>
    <t>◎聴覚障害者と接するときに心がけていること。</t>
  </si>
  <si>
    <t>◎オリンピック、パラリンピックについてあなたの思っていることを話してください</t>
  </si>
  <si>
    <t>◎手話を学び聴覚障害者と交流する中で自分が学んだこと、変わってきたと思うことを話してください。</t>
  </si>
  <si>
    <t>◎今までの手話の学習、ろう者との交流について。</t>
  </si>
  <si>
    <t>◎関心のある最近のニュースについて。</t>
  </si>
  <si>
    <t>◎ロンドンオリンピックについて話してください。</t>
  </si>
  <si>
    <t>◎手話で会話できることを生かして地域、学校、職場でどのような活動ができると思いますか。あなたの考えを話してください。</t>
  </si>
  <si>
    <t>◎ろうあ者、聴覚障害者との交流を通じて感じたこと。</t>
  </si>
  <si>
    <t>◎手話を学び始めたきっかけとこれからの活動について話をしてください。　</t>
  </si>
  <si>
    <t>◎手話を学んで難しい、たいへんだと思ったことは何ですか。</t>
  </si>
  <si>
    <t>◎あなたの仕事（学校）について自由に話してください。</t>
  </si>
  <si>
    <t>◎あなたの関心のあること。</t>
  </si>
  <si>
    <t>◎長い休みが取れたらどんなことをしたいかを話してください。</t>
  </si>
  <si>
    <t>◎手話の学習を始めたきっかけと学習方法について話してください</t>
  </si>
  <si>
    <t>◎あなたの特技、趣味を生かした活動。</t>
  </si>
  <si>
    <t>◎ストレス解消方法について。</t>
  </si>
  <si>
    <t>◎手話を学ぶようになったきっかけについて。</t>
  </si>
  <si>
    <t>◎手話を学んでよかったと思うこと。</t>
  </si>
  <si>
    <t>◎健康のために何をしていますか。</t>
  </si>
  <si>
    <t>◎あなたはどのような地域活動、同好会、ボランティア、町内会をされてますか。活動内容や活動を通じて感じたこと。</t>
  </si>
  <si>
    <t>◎思い出に残る旅行、またはこれからしてみたい旅行。</t>
  </si>
  <si>
    <t>◎手話を学ぶようになったきっかけ。</t>
  </si>
  <si>
    <t>◎健康に気をつけていることを話してください。</t>
  </si>
  <si>
    <t xml:space="preserve">◎近所づきあいや友達のつきあいについて話してください。 </t>
  </si>
  <si>
    <t>◎スポーツについて自由に話してください。</t>
  </si>
  <si>
    <t>◎今、頑張っていることを話してください。</t>
  </si>
  <si>
    <t>◎今までで楽しかった思い出を話してください。</t>
  </si>
  <si>
    <t>◎一番うれしかった思い出を話してください。</t>
  </si>
  <si>
    <t>◎あなたが健康に気をつけていること。</t>
  </si>
  <si>
    <t>◎先月のこと、去年のこと、家族旅行のことについて</t>
  </si>
  <si>
    <t>◎日常生活について。</t>
  </si>
  <si>
    <t>◎地域の行事について: 子ども会</t>
  </si>
  <si>
    <t>◎地域の行事について: 町内会</t>
  </si>
  <si>
    <t>◎地域の行事について: 夏まつり</t>
  </si>
  <si>
    <t>◎学生時代の思い出を話してください。</t>
  </si>
  <si>
    <t>◎地域の行事について: 運動会</t>
  </si>
  <si>
    <t>◎夏バテや熱中症を防ぐためにどんなことに気を付けましたか。</t>
  </si>
  <si>
    <t>◎あなたの将来の夢について。</t>
  </si>
  <si>
    <t>◎自分または家族の「得意なこと」「苦手なこと」を話してください。</t>
  </si>
  <si>
    <t>https://ameblo.jp/motohiko-in-kumano-2013/entry-12822949492.html?frm=theme</t>
  </si>
  <si>
    <t>◎自分のことまたは家族のことを話してください。</t>
  </si>
  <si>
    <t>◎自分または家族の好きなこと嫌いなこと。</t>
  </si>
  <si>
    <t>◎自分または家族の趣味について話してください。</t>
  </si>
  <si>
    <t>◎自己紹介をしてください</t>
  </si>
  <si>
    <t>◎あなたの好きなもの、嫌いなもの。</t>
  </si>
  <si>
    <t>◎自分のことを話してください。</t>
  </si>
  <si>
    <t>Question</t>
    <phoneticPr fontId="2"/>
  </si>
  <si>
    <t>Option</t>
    <phoneticPr fontId="2"/>
  </si>
  <si>
    <t>Detail</t>
    <phoneticPr fontId="2"/>
  </si>
  <si>
    <t>手話は聴覚障害者にとって重要な言語でありコミュニケーション手段ですが、手話の分からない難聴者にとって効果的な情報提供の手段はどれですか。</t>
    <rPh sb="0" eb="2">
      <t>シ;</t>
    </rPh>
    <rPh sb="3" eb="8">
      <t>チョウカクショ;シャ</t>
    </rPh>
    <rPh sb="12" eb="14">
      <t>ジュウヨウ</t>
    </rPh>
    <rPh sb="15" eb="17">
      <t>ゲンゴ</t>
    </rPh>
    <rPh sb="29" eb="31">
      <t>シュダン</t>
    </rPh>
    <rPh sb="35" eb="37">
      <t>シ;</t>
    </rPh>
    <rPh sb="38" eb="43">
      <t>ワs</t>
    </rPh>
    <rPh sb="43" eb="46">
      <t>ナンチョウシャ</t>
    </rPh>
    <rPh sb="50" eb="53">
      <t>コウカテキ</t>
    </rPh>
    <rPh sb="54" eb="58">
      <t>ジョ;テイキョウ</t>
    </rPh>
    <rPh sb="59" eb="61">
      <t>シュダン</t>
    </rPh>
    <phoneticPr fontId="2"/>
  </si>
  <si>
    <t>1. 触手話
2. 要約筆記
3. 点字通訳
4. 指文字</t>
    <rPh sb="3" eb="6">
      <t>ショクシュワ</t>
    </rPh>
    <rPh sb="10" eb="14">
      <t>ヨウヤクヒッキ</t>
    </rPh>
    <rPh sb="18" eb="20">
      <t>テンジ</t>
    </rPh>
    <rPh sb="20" eb="22">
      <t>ツウヤク</t>
    </rPh>
    <rPh sb="26" eb="29">
      <t>ユビモジ</t>
    </rPh>
    <phoneticPr fontId="2"/>
  </si>
  <si>
    <t>聴覚障害者とのコミュニケーションについて記述で適切なものはどれですか。</t>
    <rPh sb="0" eb="5">
      <t>チョウカクショ;シャ</t>
    </rPh>
    <rPh sb="20" eb="22">
      <t>キジュツ</t>
    </rPh>
    <rPh sb="23" eb="25">
      <t>テキセツ</t>
    </rPh>
    <phoneticPr fontId="2"/>
  </si>
  <si>
    <t>1. 話し手の表情や口元が見える位置や顔の向きを考えて話すのがいい
2. 筆談は簡単な文章がいいので、漢字は使わずひらがなで書くのがいい
3. 空所は分かりやすいので、多用するほうがいい
4. 手話を使うときは口型は全くつけない方がいい</t>
    <rPh sb="3" eb="4">
      <t>ハナ</t>
    </rPh>
    <rPh sb="5" eb="6">
      <t>テ</t>
    </rPh>
    <rPh sb="7" eb="9">
      <t>ヒョウジョウ</t>
    </rPh>
    <rPh sb="10" eb="12">
      <t>クチモト</t>
    </rPh>
    <rPh sb="13" eb="14">
      <t>ミ</t>
    </rPh>
    <rPh sb="16" eb="18">
      <t>イチ</t>
    </rPh>
    <rPh sb="19" eb="20">
      <t>カオ</t>
    </rPh>
    <rPh sb="21" eb="22">
      <t>ム</t>
    </rPh>
    <rPh sb="24" eb="25">
      <t>カンガ</t>
    </rPh>
    <rPh sb="27" eb="28">
      <t>ハナ</t>
    </rPh>
    <rPh sb="37" eb="39">
      <t>ヒツダン</t>
    </rPh>
    <rPh sb="40" eb="42">
      <t>カンタン</t>
    </rPh>
    <rPh sb="72" eb="74">
      <t>クウショ</t>
    </rPh>
    <rPh sb="75" eb="76">
      <t>ワ</t>
    </rPh>
    <rPh sb="84" eb="86">
      <t>タヨウ</t>
    </rPh>
    <rPh sb="97" eb="99">
      <t>シュワ</t>
    </rPh>
    <rPh sb="100" eb="101">
      <t>ツカ</t>
    </rPh>
    <rPh sb="105" eb="107">
      <t>コウケイ</t>
    </rPh>
    <rPh sb="108" eb="109">
      <t>マッタ</t>
    </rPh>
    <rPh sb="114" eb="115">
      <t>ホウ</t>
    </rPh>
    <phoneticPr fontId="2"/>
  </si>
  <si>
    <t>日本語の五十音に合わせた指文字のうち、アメリカの指文字を参考に作られたものはどれですか。</t>
    <rPh sb="0" eb="3">
      <t>ン;ゴ</t>
    </rPh>
    <rPh sb="4" eb="7">
      <t>ゴジュウオン</t>
    </rPh>
    <rPh sb="8" eb="9">
      <t>ア</t>
    </rPh>
    <rPh sb="12" eb="13">
      <t>ユビ</t>
    </rPh>
    <rPh sb="13" eb="15">
      <t>モジ</t>
    </rPh>
    <rPh sb="24" eb="27">
      <t>ユビモジ</t>
    </rPh>
    <rPh sb="28" eb="30">
      <t>サンコウ</t>
    </rPh>
    <rPh sb="31" eb="32">
      <t>ツク</t>
    </rPh>
    <phoneticPr fontId="2"/>
  </si>
  <si>
    <t>1. コ
2. ク
3. セ
4. ラ</t>
    <phoneticPr fontId="2"/>
  </si>
  <si>
    <t>手話に関する記述について正しくないものはどれですか。</t>
    <rPh sb="0" eb="2">
      <t>シ;</t>
    </rPh>
    <rPh sb="3" eb="4">
      <t>カン</t>
    </rPh>
    <rPh sb="6" eb="8">
      <t>キジュツ</t>
    </rPh>
    <rPh sb="12" eb="13">
      <t>タダ</t>
    </rPh>
    <phoneticPr fontId="2"/>
  </si>
  <si>
    <t>1. 手話には文法がある
2. 手話はどの国も同じである
3. 手話は伝承することができる
4. 手話には方言がある</t>
    <rPh sb="3" eb="5">
      <t>シュワ</t>
    </rPh>
    <rPh sb="7" eb="9">
      <t>ブンポウ</t>
    </rPh>
    <rPh sb="16" eb="18">
      <t>シ;</t>
    </rPh>
    <rPh sb="21" eb="22">
      <t>クニ</t>
    </rPh>
    <rPh sb="23" eb="24">
      <t>オナ</t>
    </rPh>
    <rPh sb="32" eb="34">
      <t>シ;</t>
    </rPh>
    <rPh sb="35" eb="37">
      <t>デンショウ</t>
    </rPh>
    <rPh sb="49" eb="51">
      <t>シ;</t>
    </rPh>
    <rPh sb="53" eb="55">
      <t>ホウゲン</t>
    </rPh>
    <phoneticPr fontId="2"/>
  </si>
  <si>
    <t>聴覚障害者に多い感音性難聴の特徴として正しくないものはどれですか。</t>
    <rPh sb="0" eb="5">
      <t>チョウカクショ;シャ</t>
    </rPh>
    <rPh sb="6" eb="7">
      <t>オオ</t>
    </rPh>
    <rPh sb="8" eb="13">
      <t>カンオンセイナンチョウ</t>
    </rPh>
    <rPh sb="14" eb="16">
      <t>トクチョウ</t>
    </rPh>
    <rPh sb="19" eb="20">
      <t>タダ</t>
    </rPh>
    <phoneticPr fontId="2"/>
  </si>
  <si>
    <t>1. 補聴器を使用すると音の聞き分けが良くなる
2. 大きい音がうるさく聞こえる
3. 小さい音が聞こえない
4. 話し言葉の弁別がしにくい</t>
    <rPh sb="3" eb="6">
      <t>ホチョウキ</t>
    </rPh>
    <rPh sb="7" eb="9">
      <t>シヨウ</t>
    </rPh>
    <rPh sb="12" eb="13">
      <t>オト</t>
    </rPh>
    <rPh sb="14" eb="15">
      <t>キ</t>
    </rPh>
    <rPh sb="16" eb="17">
      <t>ワ</t>
    </rPh>
    <rPh sb="19" eb="20">
      <t>ヨ</t>
    </rPh>
    <rPh sb="27" eb="28">
      <t>オオ</t>
    </rPh>
    <rPh sb="30" eb="31">
      <t>オト</t>
    </rPh>
    <rPh sb="36" eb="37">
      <t>キ</t>
    </rPh>
    <rPh sb="44" eb="45">
      <t>チイ</t>
    </rPh>
    <rPh sb="47" eb="48">
      <t>オト</t>
    </rPh>
    <rPh sb="49" eb="50">
      <t>キ</t>
    </rPh>
    <rPh sb="58" eb="59">
      <t>ハナ</t>
    </rPh>
    <rPh sb="60" eb="62">
      <t>コトバ</t>
    </rPh>
    <rPh sb="63" eb="65">
      <t>ベンベツ</t>
    </rPh>
    <phoneticPr fontId="2"/>
  </si>
  <si>
    <t>全日本ろうあ連盟は日本障害フォーラムという団体とともに、ある条約の批准に取り組みました。その条約とはなんですか。</t>
    <rPh sb="0" eb="3">
      <t>ゼンン;</t>
    </rPh>
    <rPh sb="6" eb="8">
      <t>レンメイ</t>
    </rPh>
    <rPh sb="9" eb="13">
      <t>ン;ショ;</t>
    </rPh>
    <rPh sb="21" eb="23">
      <t>ダンタイ</t>
    </rPh>
    <rPh sb="30" eb="32">
      <t>ジョウヤク</t>
    </rPh>
    <rPh sb="33" eb="35">
      <t>ヒジュン</t>
    </rPh>
    <rPh sb="36" eb="37">
      <t>ト</t>
    </rPh>
    <rPh sb="38" eb="39">
      <t>ク</t>
    </rPh>
    <rPh sb="46" eb="48">
      <t>ジョウヤク</t>
    </rPh>
    <phoneticPr fontId="2"/>
  </si>
  <si>
    <t>1. 障害者差別撤廃条約
2. 子どもの権利条約
3. 障害者権利条約
4. 女性差別撤廃条約</t>
    <rPh sb="3" eb="12">
      <t>ショ;シャサベツテッパイジョウヤク</t>
    </rPh>
    <rPh sb="16" eb="17">
      <t>コ</t>
    </rPh>
    <rPh sb="20" eb="24">
      <t>ケンリジョウヤク</t>
    </rPh>
    <rPh sb="28" eb="35">
      <t>ショ;シャケンリジョウヤク</t>
    </rPh>
    <rPh sb="39" eb="47">
      <t>ジョセイサベツテッパイジョウヤク</t>
    </rPh>
    <phoneticPr fontId="2"/>
  </si>
  <si>
    <t>ピア・カウセリングとはなんですか。</t>
    <phoneticPr fontId="2"/>
  </si>
  <si>
    <t>1. いつも同じ人が継続的なミーティングの中で語り合いをするカウンセリング
2. 夫婦の間の問題解決のために2人で受けるカウンセリング
3. 同じ立場や障害を持っている人同士で行うカウンセリング
4. 日頃悩んでいる家庭のこと・仕事のこと・病気のことなどについてメールで受けるカウンセリング</t>
    <rPh sb="6" eb="7">
      <t>オナ</t>
    </rPh>
    <rPh sb="8" eb="9">
      <t>r</t>
    </rPh>
    <rPh sb="10" eb="13">
      <t>ケイゾクテキ</t>
    </rPh>
    <rPh sb="21" eb="22">
      <t>ナカ</t>
    </rPh>
    <rPh sb="23" eb="24">
      <t>カタ</t>
    </rPh>
    <rPh sb="25" eb="26">
      <t>ア</t>
    </rPh>
    <rPh sb="41" eb="43">
      <t>フウフ</t>
    </rPh>
    <rPh sb="44" eb="45">
      <t>アイダ</t>
    </rPh>
    <rPh sb="46" eb="48">
      <t>モンダイ</t>
    </rPh>
    <rPh sb="48" eb="50">
      <t>カイケツ</t>
    </rPh>
    <rPh sb="55" eb="56">
      <t>r</t>
    </rPh>
    <rPh sb="57" eb="58">
      <t>ウ</t>
    </rPh>
    <rPh sb="71" eb="72">
      <t>オナ</t>
    </rPh>
    <rPh sb="73" eb="75">
      <t>タチバ</t>
    </rPh>
    <rPh sb="76" eb="78">
      <t>ショ;</t>
    </rPh>
    <rPh sb="79" eb="80">
      <t>モ</t>
    </rPh>
    <rPh sb="84" eb="85">
      <t>r</t>
    </rPh>
    <rPh sb="85" eb="87">
      <t>ドウシ</t>
    </rPh>
    <rPh sb="88" eb="89">
      <t>g;</t>
    </rPh>
    <rPh sb="101" eb="104">
      <t>ヒゴロナヤ</t>
    </rPh>
    <rPh sb="108" eb="110">
      <t>カテイ</t>
    </rPh>
    <rPh sb="114" eb="127">
      <t>シゴトノコト･ビョウキノコトンd</t>
    </rPh>
    <rPh sb="135" eb="136">
      <t>ウ</t>
    </rPh>
    <phoneticPr fontId="2"/>
  </si>
  <si>
    <t>手話協力員は聴覚障害者の雇用を推進するために公共職業安定所に配置されていますが、管轄する省庁はどこですか？</t>
    <rPh sb="0" eb="5">
      <t>シ;キョウリョクイン</t>
    </rPh>
    <rPh sb="6" eb="11">
      <t>チョウカクショ;シャ</t>
    </rPh>
    <rPh sb="12" eb="14">
      <t>コヨウ</t>
    </rPh>
    <rPh sb="15" eb="17">
      <t>スイシン</t>
    </rPh>
    <rPh sb="22" eb="29">
      <t>コウキョウショクギョウアンテイジョ</t>
    </rPh>
    <rPh sb="30" eb="32">
      <t>ハイチ</t>
    </rPh>
    <rPh sb="40" eb="42">
      <t>カンカツ</t>
    </rPh>
    <rPh sb="44" eb="46">
      <t>ショウチョウ</t>
    </rPh>
    <phoneticPr fontId="2"/>
  </si>
  <si>
    <t>1. 総務省
2. 文部科学省
3. 厚生労働省
4. 国土交通省</t>
    <rPh sb="3" eb="6">
      <t>ソウムショウ</t>
    </rPh>
    <rPh sb="10" eb="15">
      <t>モンブカガクショウ</t>
    </rPh>
    <rPh sb="19" eb="24">
      <t>コウセイロウドウショウ</t>
    </rPh>
    <rPh sb="28" eb="33">
      <t>コクドコウツウショウ</t>
    </rPh>
    <phoneticPr fontId="2"/>
  </si>
  <si>
    <t>障害者福祉の動向を見ると国際的にも国内においても1981年の国際障害者年賀大きなきっかけとなって進展しています。この国際障害者年のテーマはなんですか。</t>
    <rPh sb="0" eb="5">
      <t>ショ;シャフクシ</t>
    </rPh>
    <rPh sb="6" eb="8">
      <t>ドウコウ</t>
    </rPh>
    <rPh sb="9" eb="10">
      <t>ミ</t>
    </rPh>
    <rPh sb="12" eb="15">
      <t>コクサイテキ</t>
    </rPh>
    <rPh sb="17" eb="19">
      <t>コクナイ</t>
    </rPh>
    <rPh sb="28" eb="29">
      <t>ネン</t>
    </rPh>
    <rPh sb="30" eb="37">
      <t>コクサイショ;シャネンガ</t>
    </rPh>
    <rPh sb="37" eb="38">
      <t>オオ</t>
    </rPh>
    <rPh sb="48" eb="50">
      <t>シンテン</t>
    </rPh>
    <rPh sb="58" eb="60">
      <t>コクサイ</t>
    </rPh>
    <rPh sb="60" eb="63">
      <t>ショ;シャ</t>
    </rPh>
    <rPh sb="63" eb="64">
      <t>ネン</t>
    </rPh>
    <phoneticPr fontId="2"/>
  </si>
  <si>
    <t>1. 出会い、触れあい、心の輪
2. 壁を取り払い、扉を開こう: すべての人々が参加できる社会のために
3. わたしたち抜きで私たちのことを決めるな
4. 完全参加と平等</t>
    <rPh sb="3" eb="15">
      <t>デアイ､フレアイ､h;ノワ</t>
    </rPh>
    <rPh sb="19" eb="20">
      <t>カベ</t>
    </rPh>
    <rPh sb="21" eb="22">
      <t>ト</t>
    </rPh>
    <rPh sb="23" eb="24">
      <t>ハラ</t>
    </rPh>
    <rPh sb="26" eb="27">
      <t>トビラ</t>
    </rPh>
    <rPh sb="28" eb="29">
      <t>ヒラ</t>
    </rPh>
    <rPh sb="37" eb="47">
      <t>rrガサンカデキルシャカイ</t>
    </rPh>
    <rPh sb="60" eb="61">
      <t>ヌ</t>
    </rPh>
    <rPh sb="63" eb="66">
      <t>wt</t>
    </rPh>
    <rPh sb="70" eb="71">
      <t>キ</t>
    </rPh>
    <rPh sb="78" eb="80">
      <t>カz</t>
    </rPh>
    <rPh sb="80" eb="82">
      <t>サンカ</t>
    </rPh>
    <rPh sb="83" eb="85">
      <t>ビョウドウ</t>
    </rPh>
    <phoneticPr fontId="2"/>
  </si>
  <si>
    <t>手話通訳者の専門性が十分に理解されないために労働条件が整わず、過度の労働党で通訳者の健康問題も起きています。この手話通訳者の代表的な健康障害はなんですか。</t>
    <rPh sb="0" eb="5">
      <t>シ;ツウヤクシャ</t>
    </rPh>
    <rPh sb="6" eb="9">
      <t>センモンセイ</t>
    </rPh>
    <rPh sb="10" eb="12">
      <t>ジュウf</t>
    </rPh>
    <rPh sb="13" eb="15">
      <t>リカイ</t>
    </rPh>
    <rPh sb="22" eb="26">
      <t>ロウドウジョウケン</t>
    </rPh>
    <rPh sb="27" eb="28">
      <t>トトノ</t>
    </rPh>
    <rPh sb="31" eb="33">
      <t>カド</t>
    </rPh>
    <rPh sb="34" eb="37">
      <t>ロウドウトウ</t>
    </rPh>
    <rPh sb="38" eb="41">
      <t>ツウヤクシャ</t>
    </rPh>
    <rPh sb="42" eb="54">
      <t>ケンコウモンダイモオキテイm;</t>
    </rPh>
    <rPh sb="56" eb="61">
      <t>シ;ツウヤクシャ</t>
    </rPh>
    <rPh sb="62" eb="77">
      <t>ダイヒョウテキナケンコウショ;ハナンdk</t>
    </rPh>
    <phoneticPr fontId="2"/>
  </si>
  <si>
    <t>1. 高次脳機能障害
2. 頸肩腕障害
3. 言語障害
4. 肝機能障害</t>
    <rPh sb="3" eb="10">
      <t>コウジノウキノウショ;</t>
    </rPh>
    <rPh sb="14" eb="19">
      <t>ケイケンワンショウガイ</t>
    </rPh>
    <rPh sb="23" eb="27">
      <t>ゲンゴショ;</t>
    </rPh>
    <rPh sb="31" eb="36">
      <t>カンキノウショ;</t>
    </rPh>
    <phoneticPr fontId="2"/>
  </si>
  <si>
    <t>4年に1度、夏季大会と冬季大会がそれぞれ開催される聴覚障害者のための国際総合競技大会はなんですか。</t>
    <rPh sb="1" eb="2">
      <t>ネン</t>
    </rPh>
    <rPh sb="4" eb="5">
      <t>ド</t>
    </rPh>
    <rPh sb="20" eb="22">
      <t>カイサイ</t>
    </rPh>
    <rPh sb="25" eb="30">
      <t>チョウカクショ;シャ</t>
    </rPh>
    <rPh sb="34" eb="42">
      <t>コクサイソウゴウキョウギタイカイ</t>
    </rPh>
    <phoneticPr fontId="2"/>
  </si>
  <si>
    <t>1. デフリンピック
2. パラリンピック
3. オリンピック
4. アビリンピック</t>
    <phoneticPr fontId="2"/>
  </si>
  <si>
    <t>2013年に日本初の手話言語条例を制定し、毎年「全国高校生手話パフォーマンス甲子園」を開催している都道府県はどこですか？</t>
    <rPh sb="4" eb="5">
      <t>ネン</t>
    </rPh>
    <rPh sb="6" eb="9">
      <t>ニホンハツ</t>
    </rPh>
    <rPh sb="10" eb="16">
      <t>シ;ゲンゴジョウレイ</t>
    </rPh>
    <rPh sb="17" eb="19">
      <t>セイテイ</t>
    </rPh>
    <rPh sb="21" eb="23">
      <t>マイトシ</t>
    </rPh>
    <rPh sb="24" eb="31">
      <t>ゼンコクコウコウセイシ;</t>
    </rPh>
    <rPh sb="34" eb="41">
      <t>;コウシエン</t>
    </rPh>
    <rPh sb="43" eb="45">
      <t>カイサイ</t>
    </rPh>
    <rPh sb="49" eb="53">
      <t>トドウフケン</t>
    </rPh>
    <phoneticPr fontId="2"/>
  </si>
  <si>
    <t>1. 北海道
2. 神奈川県
3. 鳥取県
4. 福岡県</t>
    <rPh sb="3" eb="6">
      <t>ホッカイドウ</t>
    </rPh>
    <rPh sb="10" eb="14">
      <t>カナガワケン</t>
    </rPh>
    <rPh sb="18" eb="21">
      <t>トットリケン</t>
    </rPh>
    <rPh sb="25" eb="28">
      <t>フクオカケン</t>
    </rPh>
    <phoneticPr fontId="2"/>
  </si>
  <si>
    <t>字幕付き映像ライブラリ政策・貸出などの情報提供サービスや手話通訳派遣などのコミュニケーション支援機能を持たせた、身体障害者福祉法に定められた施設の名称はなんですか。</t>
    <rPh sb="0" eb="3">
      <t>ジマクツ</t>
    </rPh>
    <rPh sb="4" eb="6">
      <t>エイゾウ</t>
    </rPh>
    <rPh sb="11" eb="13">
      <t>セイサク</t>
    </rPh>
    <rPh sb="14" eb="16">
      <t>カシダシ</t>
    </rPh>
    <rPh sb="19" eb="21">
      <t>ジョウホウ</t>
    </rPh>
    <rPh sb="21" eb="23">
      <t>テイキョウ</t>
    </rPh>
    <rPh sb="28" eb="30">
      <t>シュワ</t>
    </rPh>
    <rPh sb="30" eb="32">
      <t>ツウヤク</t>
    </rPh>
    <rPh sb="32" eb="34">
      <t>ハケン</t>
    </rPh>
    <rPh sb="46" eb="48">
      <t>シエン</t>
    </rPh>
    <rPh sb="48" eb="50">
      <t>キノウ</t>
    </rPh>
    <rPh sb="51" eb="52">
      <t>モ</t>
    </rPh>
    <rPh sb="56" eb="58">
      <t>シンタイ</t>
    </rPh>
    <rPh sb="58" eb="60">
      <t>ショウガイ</t>
    </rPh>
    <rPh sb="60" eb="61">
      <t>シャ</t>
    </rPh>
    <rPh sb="61" eb="63">
      <t>フクシ</t>
    </rPh>
    <rPh sb="63" eb="64">
      <t>ホウ</t>
    </rPh>
    <rPh sb="65" eb="66">
      <t>サダ</t>
    </rPh>
    <rPh sb="70" eb="72">
      <t>シセツ</t>
    </rPh>
    <rPh sb="73" eb="75">
      <t>メイショウ</t>
    </rPh>
    <phoneticPr fontId="2"/>
  </si>
  <si>
    <t>1. 聴覚言語障害センター
2. 聴覚障害者情報センター
3. 聴覚障害者情報提供施設
4. 聴覚障害者手話通訳派遣センター</t>
    <rPh sb="3" eb="9">
      <t>チョウカクゲンゴショ;</t>
    </rPh>
    <rPh sb="17" eb="22">
      <t>チョウカクショ;シャ</t>
    </rPh>
    <rPh sb="22" eb="24">
      <t>ジョ;</t>
    </rPh>
    <rPh sb="32" eb="43">
      <t>チョウカクショ;シャジョ;テイキョウシセツ</t>
    </rPh>
    <rPh sb="47" eb="58">
      <t>チョウカクショ;シャシ;ツウヤクハケン</t>
    </rPh>
    <phoneticPr fontId="2"/>
  </si>
  <si>
    <t>1. 人権週間
2. 教育週間
3. 福祉週間
4. 障害者週間</t>
    <rPh sb="3" eb="5">
      <t>ジンケン</t>
    </rPh>
    <rPh sb="5" eb="7">
      <t>シュウカン</t>
    </rPh>
    <rPh sb="11" eb="13">
      <t>キョウイク</t>
    </rPh>
    <rPh sb="13" eb="15">
      <t>シュウカン</t>
    </rPh>
    <rPh sb="19" eb="21">
      <t>フクシ</t>
    </rPh>
    <rPh sb="21" eb="23">
      <t>シュウカン</t>
    </rPh>
    <rPh sb="27" eb="29">
      <t>ショ；</t>
    </rPh>
    <rPh sb="29" eb="30">
      <t>シャ</t>
    </rPh>
    <rPh sb="30" eb="32">
      <t>シュウカン</t>
    </rPh>
    <phoneticPr fontId="2"/>
  </si>
  <si>
    <t>障害者基本法に基づき、国民に障害者の福祉についての関心と理解を深めることを目的として毎年12月3日から9日まで実施されているのはなんですか。</t>
    <rPh sb="0" eb="2">
      <t>ショ；</t>
    </rPh>
    <rPh sb="2" eb="3">
      <t>シャ</t>
    </rPh>
    <rPh sb="3" eb="6">
      <t>キホンホウ</t>
    </rPh>
    <rPh sb="7" eb="8">
      <t>モト</t>
    </rPh>
    <rPh sb="11" eb="13">
      <t>コクミン</t>
    </rPh>
    <rPh sb="14" eb="16">
      <t>ショ；</t>
    </rPh>
    <rPh sb="16" eb="17">
      <t>シャ</t>
    </rPh>
    <rPh sb="18" eb="20">
      <t>フクシ</t>
    </rPh>
    <rPh sb="25" eb="27">
      <t>カンシン</t>
    </rPh>
    <rPh sb="28" eb="30">
      <t>リカイ</t>
    </rPh>
    <rPh sb="31" eb="32">
      <t>フカ</t>
    </rPh>
    <rPh sb="37" eb="39">
      <t>モクテキ</t>
    </rPh>
    <rPh sb="42" eb="44">
      <t>マイトシ</t>
    </rPh>
    <rPh sb="46" eb="47">
      <t>ガツ</t>
    </rPh>
    <rPh sb="48" eb="49">
      <t>h</t>
    </rPh>
    <rPh sb="52" eb="53">
      <t>h</t>
    </rPh>
    <rPh sb="55" eb="57">
      <t>ジッシ</t>
    </rPh>
    <phoneticPr fontId="2"/>
  </si>
  <si>
    <t>障害者の雇用の促進等に関する法律において一定の従業員数がいる事業所は法律で定められた割合以上の障害者を雇用する必要があります。その割合を何と言いますか。</t>
    <rPh sb="0" eb="3">
      <t>ショ;シャ</t>
    </rPh>
    <rPh sb="4" eb="6">
      <t>コヨウ</t>
    </rPh>
    <rPh sb="7" eb="10">
      <t>ソクシントウ</t>
    </rPh>
    <rPh sb="11" eb="12">
      <t>カン</t>
    </rPh>
    <rPh sb="14" eb="16">
      <t>ホウリツ</t>
    </rPh>
    <rPh sb="20" eb="22">
      <t>イッテイ</t>
    </rPh>
    <rPh sb="23" eb="27">
      <t>ジュウギョウインスウ</t>
    </rPh>
    <rPh sb="30" eb="33">
      <t>ジギョウショ</t>
    </rPh>
    <rPh sb="34" eb="36">
      <t>ホウリツ</t>
    </rPh>
    <rPh sb="37" eb="38">
      <t>サダ</t>
    </rPh>
    <rPh sb="42" eb="44">
      <t>ワリアイ</t>
    </rPh>
    <rPh sb="44" eb="46">
      <t>イジョウ</t>
    </rPh>
    <rPh sb="47" eb="49">
      <t>ショ；</t>
    </rPh>
    <rPh sb="49" eb="50">
      <t>シャ</t>
    </rPh>
    <rPh sb="51" eb="53">
      <t>コヨウ</t>
    </rPh>
    <rPh sb="55" eb="57">
      <t>ヒツヨウ</t>
    </rPh>
    <rPh sb="65" eb="67">
      <t>ワリアイ</t>
    </rPh>
    <rPh sb="68" eb="69">
      <t>ナン</t>
    </rPh>
    <rPh sb="70" eb="71">
      <t>イ</t>
    </rPh>
    <phoneticPr fontId="2"/>
  </si>
  <si>
    <t>1. 義務雇用率
2. 法定雇用率
3. 目標雇用率
4. 最低雇用率</t>
    <rPh sb="3" eb="8">
      <t>ギムコヨウリツ</t>
    </rPh>
    <rPh sb="12" eb="17">
      <t>ホウテイコヨウリツ</t>
    </rPh>
    <rPh sb="21" eb="26">
      <t>モk;コヨウリツ</t>
    </rPh>
    <rPh sb="30" eb="35">
      <t>サイテイコヨウリツ</t>
    </rPh>
    <phoneticPr fontId="2"/>
  </si>
  <si>
    <t>指文字について正しいものはどれですか。</t>
    <rPh sb="0" eb="3">
      <t>ユビモジ</t>
    </rPh>
    <rPh sb="7" eb="8">
      <t>タダ</t>
    </rPh>
    <phoneticPr fontId="2"/>
  </si>
  <si>
    <t>1. 手話の語彙の一部になることがある
2. 主にカタカナで書かれる言葉について表現するためのものである
3. 指文字は年々改良されている
4. 五十音に対応しているが、「が」などの濁音は表現できない</t>
    <rPh sb="3" eb="5">
      <t>シ;</t>
    </rPh>
    <rPh sb="6" eb="8">
      <t>ゴイ</t>
    </rPh>
    <rPh sb="9" eb="11">
      <t>イチブ</t>
    </rPh>
    <rPh sb="23" eb="24">
      <t>オモ</t>
    </rPh>
    <rPh sb="30" eb="31">
      <t>カ</t>
    </rPh>
    <rPh sb="34" eb="36">
      <t>コトバ</t>
    </rPh>
    <rPh sb="40" eb="42">
      <t>ヒ;</t>
    </rPh>
    <rPh sb="56" eb="59">
      <t>ユビモジ</t>
    </rPh>
    <rPh sb="60" eb="64">
      <t>ネンネンカイリョウ</t>
    </rPh>
    <rPh sb="73" eb="76">
      <t>ゴジュウオン</t>
    </rPh>
    <rPh sb="77" eb="79">
      <t>タl</t>
    </rPh>
    <rPh sb="91" eb="93">
      <t>ダクオン</t>
    </rPh>
    <rPh sb="94" eb="96">
      <t>ヒ;</t>
    </rPh>
    <phoneticPr fontId="2"/>
  </si>
  <si>
    <t>手話で表現した場合、手の形と位置は同じだが、手の動きだけが異なっている語の組み合わせはどれですか。</t>
    <rPh sb="0" eb="2">
      <t>シ;</t>
    </rPh>
    <rPh sb="3" eb="5">
      <t>ヒ;</t>
    </rPh>
    <rPh sb="7" eb="9">
      <t>バアイ</t>
    </rPh>
    <rPh sb="10" eb="11">
      <t>テ</t>
    </rPh>
    <rPh sb="12" eb="13">
      <t>sh</t>
    </rPh>
    <rPh sb="14" eb="16">
      <t>イチ</t>
    </rPh>
    <rPh sb="17" eb="18">
      <t>オナ</t>
    </rPh>
    <rPh sb="22" eb="23">
      <t>テ</t>
    </rPh>
    <rPh sb="24" eb="25">
      <t>ウゴ</t>
    </rPh>
    <rPh sb="29" eb="30">
      <t>コト</t>
    </rPh>
    <rPh sb="35" eb="36">
      <t>ゴ</t>
    </rPh>
    <rPh sb="37" eb="38">
      <t>ク</t>
    </rPh>
    <rPh sb="39" eb="40">
      <t>ア</t>
    </rPh>
    <phoneticPr fontId="2"/>
  </si>
  <si>
    <t>1. 経済と商売
2. 遊びと会社
3. 姉と弟
4. 考えると私</t>
    <rPh sb="3" eb="5">
      <t>ケイザイ</t>
    </rPh>
    <rPh sb="6" eb="8">
      <t>ショウバイ</t>
    </rPh>
    <rPh sb="12" eb="13">
      <t>アソ</t>
    </rPh>
    <rPh sb="15" eb="17">
      <t>カイシャ</t>
    </rPh>
    <rPh sb="21" eb="22">
      <t>アネ</t>
    </rPh>
    <rPh sb="23" eb="24">
      <t>オトウト</t>
    </rPh>
    <rPh sb="28" eb="29">
      <t>カンガ</t>
    </rPh>
    <rPh sb="32" eb="33">
      <t>w</t>
    </rPh>
    <phoneticPr fontId="2"/>
  </si>
  <si>
    <t>都道府県の手話で名所から作られたものはどれですか。</t>
    <rPh sb="0" eb="4">
      <t>トドウフケン</t>
    </rPh>
    <rPh sb="5" eb="7">
      <t>シ;</t>
    </rPh>
    <rPh sb="8" eb="10">
      <t>メイショ</t>
    </rPh>
    <rPh sb="12" eb="13">
      <t>ツク</t>
    </rPh>
    <phoneticPr fontId="2"/>
  </si>
  <si>
    <t>1. 香川
2. 広島
3. 長野
4. 秋田</t>
    <rPh sb="3" eb="5">
      <t>カガワ</t>
    </rPh>
    <rPh sb="9" eb="11">
      <t>ヒロシマ</t>
    </rPh>
    <rPh sb="15" eb="17">
      <t>ナガノ</t>
    </rPh>
    <rPh sb="21" eb="23">
      <t>アキタ</t>
    </rPh>
    <phoneticPr fontId="2"/>
  </si>
  <si>
    <t>次の語のうちで1つだけ両手を使わない手話表現があります。それはどれですか。</t>
    <rPh sb="0" eb="27">
      <t>ツギノゴノウチデ1ツダケリョウテヲツカワナイシ;ヒ;ガアr</t>
    </rPh>
    <phoneticPr fontId="2"/>
  </si>
  <si>
    <t>1. 気温
2. プライバシー
3. オーバー
4. 詳細</t>
    <rPh sb="3" eb="5">
      <t>キオン</t>
    </rPh>
    <rPh sb="27" eb="29">
      <t>ショウサイ</t>
    </rPh>
    <phoneticPr fontId="2"/>
  </si>
  <si>
    <t>次の言葉を手話で表現した時、両手の形が異なるものはどれですか。</t>
    <rPh sb="0" eb="1">
      <t>ツギ</t>
    </rPh>
    <rPh sb="2" eb="4">
      <t>コトバ</t>
    </rPh>
    <rPh sb="5" eb="7">
      <t>シ;</t>
    </rPh>
    <rPh sb="8" eb="10">
      <t>ヒ;</t>
    </rPh>
    <rPh sb="12" eb="13">
      <t>トキ</t>
    </rPh>
    <rPh sb="14" eb="16">
      <t>リョウテ</t>
    </rPh>
    <rPh sb="17" eb="18">
      <t>sh</t>
    </rPh>
    <rPh sb="19" eb="20">
      <t>コト</t>
    </rPh>
    <phoneticPr fontId="2"/>
  </si>
  <si>
    <t>1. 生きる
2. 訓練
3. 基準
4. 材料</t>
    <rPh sb="3" eb="4">
      <t>イ</t>
    </rPh>
    <rPh sb="10" eb="12">
      <t>クンレン</t>
    </rPh>
    <rPh sb="16" eb="18">
      <t>キジュン</t>
    </rPh>
    <rPh sb="22" eb="24">
      <t>ザイリョウ</t>
    </rPh>
    <phoneticPr fontId="2"/>
  </si>
  <si>
    <t>手話表現した時漢字の字形を表現していないものはどれですか。</t>
    <rPh sb="0" eb="9">
      <t>シヒ;シタトキカンジ</t>
    </rPh>
    <rPh sb="10" eb="12">
      <t>ジケイ</t>
    </rPh>
    <rPh sb="13" eb="15">
      <t>ヒ;</t>
    </rPh>
    <phoneticPr fontId="2"/>
  </si>
  <si>
    <t>1. 災害
2. 非
3. 北陸
4. 虹</t>
    <rPh sb="3" eb="5">
      <t>サイガイ</t>
    </rPh>
    <rPh sb="9" eb="10">
      <t>ヒ</t>
    </rPh>
    <rPh sb="14" eb="16">
      <t>ホクリク</t>
    </rPh>
    <rPh sb="20" eb="21">
      <t>ニジ</t>
    </rPh>
    <phoneticPr fontId="2"/>
  </si>
  <si>
    <t>耳で聞く音は空気の振動によって伝わります。次の中で音の3要素ではないものはどれですか。</t>
    <rPh sb="0" eb="1">
      <t>ミミ</t>
    </rPh>
    <rPh sb="2" eb="3">
      <t>キ</t>
    </rPh>
    <rPh sb="4" eb="5">
      <t>オト</t>
    </rPh>
    <rPh sb="6" eb="8">
      <t>クウキ</t>
    </rPh>
    <rPh sb="9" eb="11">
      <t>シンドウ</t>
    </rPh>
    <rPh sb="15" eb="16">
      <t>ツタ</t>
    </rPh>
    <rPh sb="21" eb="22">
      <t>ツギ</t>
    </rPh>
    <rPh sb="23" eb="24">
      <t>ナカ</t>
    </rPh>
    <rPh sb="25" eb="26">
      <t>オト</t>
    </rPh>
    <rPh sb="28" eb="30">
      <t>ヨウソ</t>
    </rPh>
    <phoneticPr fontId="2"/>
  </si>
  <si>
    <t>1. 音の大きさ
2. 音の長さ
3. 音の高さ
4. 音色</t>
    <rPh sb="3" eb="4">
      <t>オト</t>
    </rPh>
    <rPh sb="5" eb="6">
      <t>オオ</t>
    </rPh>
    <rPh sb="12" eb="13">
      <t>オト</t>
    </rPh>
    <rPh sb="14" eb="15">
      <t>ナガ</t>
    </rPh>
    <rPh sb="20" eb="21">
      <t>オト</t>
    </rPh>
    <rPh sb="22" eb="23">
      <t>タカ</t>
    </rPh>
    <rPh sb="28" eb="30">
      <t>オトイロ</t>
    </rPh>
    <phoneticPr fontId="2"/>
  </si>
  <si>
    <t>手話が言語であることについて「言語（手話を含む。）」と条文の一節に規定した法律はなんですか。</t>
    <rPh sb="0" eb="2">
      <t>シ;</t>
    </rPh>
    <rPh sb="3" eb="5">
      <t>ゲンゴ</t>
    </rPh>
    <rPh sb="15" eb="17">
      <t>ゲンゴ</t>
    </rPh>
    <rPh sb="18" eb="20">
      <t>シ;</t>
    </rPh>
    <rPh sb="21" eb="22">
      <t>フク</t>
    </rPh>
    <rPh sb="27" eb="29">
      <t>ジョウブン</t>
    </rPh>
    <rPh sb="30" eb="32">
      <t>イッセツ</t>
    </rPh>
    <rPh sb="33" eb="35">
      <t>キテイ</t>
    </rPh>
    <rPh sb="37" eb="39">
      <t>ホウリツ</t>
    </rPh>
    <phoneticPr fontId="2"/>
  </si>
  <si>
    <t>1. 障害者基本法
2. 障害者差別解消法
3. 障害者総合支援法
4. 障害者自立支援法</t>
    <rPh sb="3" eb="9">
      <t>ショ;シャキホンホウ</t>
    </rPh>
    <rPh sb="13" eb="21">
      <t>ショ;シャサベツカイショウホウ</t>
    </rPh>
    <rPh sb="25" eb="33">
      <t>ショ;シャソウゴウシエンホウ</t>
    </rPh>
    <rPh sb="37" eb="45">
      <t>ショ;シャジリツシエンホウ</t>
    </rPh>
    <phoneticPr fontId="2"/>
  </si>
  <si>
    <t>聴覚障害者のために認定NPO法人障害者放送通信機構が提供している手話と字幕付きで視聴できる番組はなんですか。</t>
    <rPh sb="0" eb="5">
      <t>チョウカクショ;シャ</t>
    </rPh>
    <rPh sb="9" eb="11">
      <t>ニンテイ</t>
    </rPh>
    <rPh sb="14" eb="19">
      <t>ホウジンショ;シャ</t>
    </rPh>
    <rPh sb="19" eb="25">
      <t>ホウソウツウシンキコウ</t>
    </rPh>
    <rPh sb="26" eb="28">
      <t>テイキョウ</t>
    </rPh>
    <rPh sb="32" eb="34">
      <t>シ;</t>
    </rPh>
    <rPh sb="35" eb="38">
      <t>ジマクツ</t>
    </rPh>
    <rPh sb="40" eb="42">
      <t>シチョウ</t>
    </rPh>
    <rPh sb="45" eb="47">
      <t>b;</t>
    </rPh>
    <phoneticPr fontId="2"/>
  </si>
  <si>
    <t>1. 目で見るテレビ
2. 目で聴くテレビ
3. 耳で見るテレビ
4. 耳で聴くテレビ</t>
    <rPh sb="3" eb="4">
      <t>メ</t>
    </rPh>
    <rPh sb="5" eb="6">
      <t>ミ</t>
    </rPh>
    <rPh sb="14" eb="15">
      <t>メ</t>
    </rPh>
    <rPh sb="16" eb="17">
      <t>キ</t>
    </rPh>
    <rPh sb="25" eb="26">
      <t>ミミ</t>
    </rPh>
    <rPh sb="27" eb="28">
      <t>ミ</t>
    </rPh>
    <rPh sb="36" eb="37">
      <t>ミミ</t>
    </rPh>
    <rPh sb="38" eb="39">
      <t>キ</t>
    </rPh>
    <phoneticPr fontId="2"/>
  </si>
  <si>
    <t>障害の社会的障壁について障害があるものにとって日常生活または社会生活を営む上で障壁となるような社会における事物、制度、慣行、観念、その他の一切のものをいうと定義づけている。これはどんな視点を取り入れたものですか。</t>
    <rPh sb="0" eb="2">
      <t>ショ;</t>
    </rPh>
    <rPh sb="3" eb="8">
      <t>シャカイテキショウヘキ</t>
    </rPh>
    <rPh sb="12" eb="14">
      <t>ショ;</t>
    </rPh>
    <rPh sb="23" eb="27">
      <t>ニチジョウセイカツ</t>
    </rPh>
    <rPh sb="30" eb="34">
      <t>シャカイセイカツ</t>
    </rPh>
    <rPh sb="35" eb="36">
      <t>イトナ</t>
    </rPh>
    <rPh sb="37" eb="38">
      <t>ウエ</t>
    </rPh>
    <rPh sb="39" eb="41">
      <t>ショウヘキ</t>
    </rPh>
    <rPh sb="47" eb="49">
      <t>シャカイ</t>
    </rPh>
    <rPh sb="92" eb="94">
      <t>シテン</t>
    </rPh>
    <rPh sb="95" eb="96">
      <t>ト</t>
    </rPh>
    <rPh sb="97" eb="98">
      <t>イ</t>
    </rPh>
    <phoneticPr fontId="2"/>
  </si>
  <si>
    <t>1. バリアフリー
2. 社会モデル
3. インクルージョン
4. リハビリテーション</t>
    <rPh sb="13" eb="15">
      <t>シャカイ</t>
    </rPh>
    <phoneticPr fontId="2"/>
  </si>
  <si>
    <t>（ア）難聴の場合は、音を（イ）に伝える部分の障害のため音が小さくなってしまいますが（イ）に異常がない場合は（ウ）で十分に大きな音に増幅すれば聞き取りは改善されます。（ウ）の装用効果がかなり（エ）と言えます。</t>
    <rPh sb="3" eb="5">
      <t>ナンチョウ</t>
    </rPh>
    <rPh sb="6" eb="8">
      <t>バアイ</t>
    </rPh>
    <rPh sb="10" eb="11">
      <t>オト</t>
    </rPh>
    <rPh sb="16" eb="17">
      <t>ツタ</t>
    </rPh>
    <rPh sb="19" eb="21">
      <t>ブf</t>
    </rPh>
    <rPh sb="22" eb="24">
      <t>ショ;</t>
    </rPh>
    <rPh sb="27" eb="28">
      <t>オト</t>
    </rPh>
    <rPh sb="29" eb="30">
      <t>チイ</t>
    </rPh>
    <rPh sb="45" eb="47">
      <t>イジョウ</t>
    </rPh>
    <rPh sb="50" eb="52">
      <t>バアイ</t>
    </rPh>
    <rPh sb="57" eb="59">
      <t>ジュウf</t>
    </rPh>
    <rPh sb="60" eb="61">
      <t>オオ</t>
    </rPh>
    <rPh sb="63" eb="64">
      <t>オト</t>
    </rPh>
    <rPh sb="65" eb="67">
      <t>ゾウフク</t>
    </rPh>
    <rPh sb="70" eb="71">
      <t>キ</t>
    </rPh>
    <rPh sb="72" eb="73">
      <t>ト</t>
    </rPh>
    <rPh sb="75" eb="77">
      <t>カイゼン</t>
    </rPh>
    <rPh sb="86" eb="90">
      <t>ソウヨウコウカ</t>
    </rPh>
    <rPh sb="98" eb="99">
      <t>イ</t>
    </rPh>
    <phoneticPr fontId="2"/>
  </si>
  <si>
    <t>1. 中耳
2. 内耳
3. 外耳
4. 補聴器
5. 集音器
6. 低い
7. 高い
8. 伝音声
9. 感音性
10. 突発性</t>
    <rPh sb="3" eb="5">
      <t>チュウジ</t>
    </rPh>
    <rPh sb="9" eb="11">
      <t>ナイジ</t>
    </rPh>
    <rPh sb="15" eb="17">
      <t>ガイジ</t>
    </rPh>
    <rPh sb="21" eb="24">
      <t>ホチョウキ</t>
    </rPh>
    <rPh sb="28" eb="30">
      <t>シュウオン</t>
    </rPh>
    <rPh sb="30" eb="31">
      <t>キ</t>
    </rPh>
    <rPh sb="35" eb="36">
      <t>ヒク</t>
    </rPh>
    <rPh sb="41" eb="42">
      <t>タカ</t>
    </rPh>
    <rPh sb="47" eb="48">
      <t>デン</t>
    </rPh>
    <rPh sb="48" eb="50">
      <t>オンセイ</t>
    </rPh>
    <rPh sb="54" eb="57">
      <t>カンオンセイ</t>
    </rPh>
    <rPh sb="62" eb="64">
      <t>トッパツ</t>
    </rPh>
    <rPh sb="64" eb="65">
      <t>セイ</t>
    </rPh>
    <phoneticPr fontId="2"/>
  </si>
  <si>
    <t>8,2,4,7</t>
    <phoneticPr fontId="2"/>
  </si>
  <si>
    <t>日本では1878年、京都に（ア）が設立されました。手話はろう児の集団形成とともに（イ）を通じて形成され、ろう者の集団の中で発展したものと考えられます。この時代は聞こえないという障害ゆえに（ウ）や社会的偏見がありました。</t>
    <rPh sb="0" eb="2">
      <t>ン;</t>
    </rPh>
    <rPh sb="8" eb="9">
      <t>ネン</t>
    </rPh>
    <rPh sb="10" eb="12">
      <t>キョウト</t>
    </rPh>
    <rPh sb="17" eb="19">
      <t>セツリツ</t>
    </rPh>
    <rPh sb="25" eb="27">
      <t>シ;</t>
    </rPh>
    <rPh sb="30" eb="31">
      <t>ジ</t>
    </rPh>
    <rPh sb="32" eb="36">
      <t>シュウダンケイセイ</t>
    </rPh>
    <rPh sb="44" eb="45">
      <t>ツウ</t>
    </rPh>
    <rPh sb="47" eb="49">
      <t>ケイセイ</t>
    </rPh>
    <rPh sb="54" eb="55">
      <t>シャ</t>
    </rPh>
    <rPh sb="56" eb="58">
      <t>シュウダン</t>
    </rPh>
    <rPh sb="59" eb="60">
      <t>ナカ</t>
    </rPh>
    <rPh sb="61" eb="63">
      <t>ハッテン</t>
    </rPh>
    <rPh sb="68" eb="69">
      <t>カンガ</t>
    </rPh>
    <rPh sb="77" eb="79">
      <t>ジダイ</t>
    </rPh>
    <rPh sb="80" eb="81">
      <t>キ</t>
    </rPh>
    <rPh sb="88" eb="90">
      <t>ショ;</t>
    </rPh>
    <rPh sb="97" eb="102">
      <t>シャカイテキヘンケン</t>
    </rPh>
    <phoneticPr fontId="2"/>
  </si>
  <si>
    <t>1. 盲唖院
2. ろうあ協会
3. 歴史
4. 手話サークル
5. 平等
6. 教育
7. 差別
8. 自然</t>
    <rPh sb="3" eb="4">
      <t>モウ</t>
    </rPh>
    <rPh sb="4" eb="5">
      <t>ア</t>
    </rPh>
    <rPh sb="5" eb="6">
      <t>イン</t>
    </rPh>
    <rPh sb="13" eb="15">
      <t>キョウカイ</t>
    </rPh>
    <rPh sb="19" eb="21">
      <t>レキシ</t>
    </rPh>
    <rPh sb="25" eb="31">
      <t>シサ；</t>
    </rPh>
    <rPh sb="35" eb="37">
      <t>ビョウドウ</t>
    </rPh>
    <rPh sb="41" eb="43">
      <t>キョウイク</t>
    </rPh>
    <rPh sb="47" eb="49">
      <t>サベツ</t>
    </rPh>
    <rPh sb="53" eb="55">
      <t>シゼン</t>
    </rPh>
    <phoneticPr fontId="2"/>
  </si>
  <si>
    <t>1,6,7</t>
    <phoneticPr fontId="2"/>
  </si>
  <si>
    <t>2022年5月に障害者情報アクセシビリティ・コミュニケーション施策推進法が施行されました。この法律はすべての障害者があらゆる分野の（ア）に参加するためには情報の十分な取得利用や（イ）意思疎通が極めて重要であることから障害者による情報の十分な取得利用や（イ）意思疎通が極めて重要であることから障害者による情報の取得利用・意思疎通にかかる施策を総合的に推進し、（ウ）の実現に資するために制定されました。</t>
    <rPh sb="4" eb="5">
      <t>ネン</t>
    </rPh>
    <rPh sb="6" eb="7">
      <t>ガツ</t>
    </rPh>
    <rPh sb="8" eb="13">
      <t>ショ;シャジョ;</t>
    </rPh>
    <rPh sb="31" eb="33">
      <t>シサク</t>
    </rPh>
    <rPh sb="33" eb="36">
      <t>スイシンホウ</t>
    </rPh>
    <rPh sb="37" eb="39">
      <t>シコウ</t>
    </rPh>
    <rPh sb="47" eb="49">
      <t>ホウリツ</t>
    </rPh>
    <rPh sb="54" eb="57">
      <t>ショ;シャ</t>
    </rPh>
    <rPh sb="62" eb="64">
      <t>ブンヤ</t>
    </rPh>
    <rPh sb="69" eb="71">
      <t>サンカ</t>
    </rPh>
    <rPh sb="77" eb="79">
      <t>ジョ;</t>
    </rPh>
    <rPh sb="80" eb="82">
      <t>ジュウf</t>
    </rPh>
    <rPh sb="83" eb="87">
      <t>シュトクリヨウ</t>
    </rPh>
    <rPh sb="91" eb="95">
      <t>イシソツウ</t>
    </rPh>
    <rPh sb="96" eb="97">
      <t>キワ</t>
    </rPh>
    <rPh sb="99" eb="101">
      <t>ジュウヨウ</t>
    </rPh>
    <rPh sb="108" eb="111">
      <t>ショ;シャ</t>
    </rPh>
    <rPh sb="114" eb="116">
      <t>ジョ;</t>
    </rPh>
    <rPh sb="117" eb="119">
      <t>ジュウf</t>
    </rPh>
    <rPh sb="120" eb="124">
      <t>シュトクリヨウ</t>
    </rPh>
    <rPh sb="128" eb="132">
      <t>イシソツウ</t>
    </rPh>
    <rPh sb="133" eb="134">
      <t>キワ</t>
    </rPh>
    <rPh sb="136" eb="138">
      <t>ジュウヨウ</t>
    </rPh>
    <rPh sb="145" eb="176">
      <t>ショ;シャニヨルジョ;ノシュトクリヨウ･イシソツウニカカルシサクヲソウゴウテキニスイシン</t>
    </rPh>
    <rPh sb="182" eb="184">
      <t>ジツゲン</t>
    </rPh>
    <rPh sb="185" eb="186">
      <t>シ</t>
    </rPh>
    <rPh sb="191" eb="193">
      <t>セイテイ</t>
    </rPh>
    <phoneticPr fontId="2"/>
  </si>
  <si>
    <t>1. 仕事
2. 集会
3. 活動
4. 円滑な
5. 一定の
6. お互いの
7. 共存社会
8. 共生社会</t>
    <rPh sb="3" eb="5">
      <t>シゴト</t>
    </rPh>
    <rPh sb="9" eb="11">
      <t>シュウカイ</t>
    </rPh>
    <rPh sb="15" eb="17">
      <t>カツドウ</t>
    </rPh>
    <rPh sb="21" eb="23">
      <t>エンカツ</t>
    </rPh>
    <rPh sb="28" eb="30">
      <t>イッテイ</t>
    </rPh>
    <rPh sb="36" eb="38">
      <t>l</t>
    </rPh>
    <rPh sb="43" eb="47">
      <t>キョウゾンシャカイ</t>
    </rPh>
    <rPh sb="51" eb="55">
      <t>キョウセイシャカイ</t>
    </rPh>
    <phoneticPr fontId="2"/>
  </si>
  <si>
    <t>3,4,8</t>
    <phoneticPr fontId="2"/>
  </si>
  <si>
    <t>手話の【夜】と【～なる】では（ア）が異なり、【思う】と【心】では（イ）が異なります。また【裁判】と【人事異動】では（ウ）が異なります。このような例から手話という言語は一定の要素が複雑に組み合わさって構成されているといえます。</t>
    <rPh sb="0" eb="2">
      <t>シ;</t>
    </rPh>
    <rPh sb="4" eb="5">
      <t>ヨル</t>
    </rPh>
    <rPh sb="18" eb="19">
      <t>コト</t>
    </rPh>
    <rPh sb="23" eb="24">
      <t>オモ</t>
    </rPh>
    <rPh sb="28" eb="29">
      <t>h;</t>
    </rPh>
    <rPh sb="36" eb="37">
      <t>コト</t>
    </rPh>
    <rPh sb="45" eb="47">
      <t>サイバン</t>
    </rPh>
    <rPh sb="50" eb="54">
      <t>ジンジイドウ</t>
    </rPh>
    <rPh sb="61" eb="62">
      <t>コト</t>
    </rPh>
    <rPh sb="72" eb="73">
      <t>レイ</t>
    </rPh>
    <rPh sb="75" eb="80">
      <t>シ;tl</t>
    </rPh>
    <rPh sb="80" eb="82">
      <t>ゲンゴ</t>
    </rPh>
    <rPh sb="83" eb="85">
      <t>イッテイ</t>
    </rPh>
    <rPh sb="86" eb="88">
      <t>ヨウソ</t>
    </rPh>
    <rPh sb="89" eb="91">
      <t>フクザツ</t>
    </rPh>
    <rPh sb="92" eb="93">
      <t>ク</t>
    </rPh>
    <rPh sb="94" eb="95">
      <t>ア</t>
    </rPh>
    <rPh sb="99" eb="101">
      <t>コウセイ</t>
    </rPh>
    <phoneticPr fontId="2"/>
  </si>
  <si>
    <t>1. 手話の位置
2. 手指の動き
3. 語順
4. 趣旨の形
5. 頭の動き
6. 顔の表情
7. 体の向き
8. 手のひらの向き</t>
    <rPh sb="3" eb="5">
      <t>シ;</t>
    </rPh>
    <rPh sb="6" eb="8">
      <t>イチ</t>
    </rPh>
    <rPh sb="12" eb="14">
      <t>シュシ</t>
    </rPh>
    <rPh sb="15" eb="16">
      <t>ウゴ</t>
    </rPh>
    <rPh sb="21" eb="23">
      <t>ゴジュン</t>
    </rPh>
    <rPh sb="27" eb="29">
      <t>シュシ</t>
    </rPh>
    <rPh sb="30" eb="31">
      <t>ｓｈ</t>
    </rPh>
    <rPh sb="35" eb="36">
      <t>アタマ</t>
    </rPh>
    <rPh sb="37" eb="38">
      <t>ウゴ</t>
    </rPh>
    <rPh sb="43" eb="44">
      <t>カオ</t>
    </rPh>
    <rPh sb="45" eb="47">
      <t>ヒョウジョウ</t>
    </rPh>
    <rPh sb="51" eb="52">
      <t>カラダ</t>
    </rPh>
    <rPh sb="53" eb="54">
      <t>ム</t>
    </rPh>
    <rPh sb="59" eb="60">
      <t>テ</t>
    </rPh>
    <rPh sb="64" eb="65">
      <t>ム</t>
    </rPh>
    <phoneticPr fontId="2"/>
  </si>
  <si>
    <t>8,1,2</t>
    <phoneticPr fontId="2"/>
  </si>
  <si>
    <t>1. 全国手話研修センター
2. 全国手話通訳問題研究会
3. 全日本ろうあ連盟
4. イラスト
5. 文章
6. 日本語対応手話
7. 映像
8. 標準手話</t>
    <rPh sb="3" eb="9">
      <t>ゼンコクシ;ケンシュウ</t>
    </rPh>
    <rPh sb="17" eb="28">
      <t>ゼンコクシ;ツウヤクモンダイケンキュウカイ</t>
    </rPh>
    <rPh sb="32" eb="35">
      <t>ゼンニホン</t>
    </rPh>
    <rPh sb="38" eb="40">
      <t>レンメイ</t>
    </rPh>
    <rPh sb="52" eb="54">
      <t>ブンショウ</t>
    </rPh>
    <rPh sb="58" eb="65">
      <t>ニホンゴタlシ;</t>
    </rPh>
    <rPh sb="69" eb="71">
      <t>エイゾウ</t>
    </rPh>
    <rPh sb="75" eb="79">
      <t>ヒョウジュンシ;</t>
    </rPh>
    <phoneticPr fontId="2"/>
  </si>
  <si>
    <t>（ア）の交付があれば、障害福祉の窓口に申請することで（イ）の交付を受けられます。しかし、両耳の聴力レベルが（ウ）未満の場合は（ア）が交付されないため制度の対象外となり、全額自己負担となります。</t>
    <rPh sb="4" eb="6">
      <t>コウフ</t>
    </rPh>
    <rPh sb="11" eb="15">
      <t>ショ;フクシ</t>
    </rPh>
    <rPh sb="16" eb="18">
      <t>マドグチ</t>
    </rPh>
    <rPh sb="19" eb="21">
      <t>シンセイ</t>
    </rPh>
    <rPh sb="30" eb="32">
      <t>コウフ</t>
    </rPh>
    <rPh sb="33" eb="34">
      <t>ウ</t>
    </rPh>
    <rPh sb="44" eb="46">
      <t>リョウミミ</t>
    </rPh>
    <rPh sb="47" eb="49">
      <t>チョウリョク</t>
    </rPh>
    <rPh sb="56" eb="58">
      <t>ミマン</t>
    </rPh>
    <rPh sb="59" eb="61">
      <t>バアイ</t>
    </rPh>
    <rPh sb="66" eb="68">
      <t>コウフ</t>
    </rPh>
    <rPh sb="74" eb="76">
      <t>セイド</t>
    </rPh>
    <rPh sb="77" eb="80">
      <t>タイショウガイ</t>
    </rPh>
    <rPh sb="84" eb="90">
      <t>ゼンガクジコフタン</t>
    </rPh>
    <phoneticPr fontId="2"/>
  </si>
  <si>
    <t>1. 障害者年金手帳
2. 身体障害者手帳
3. 厚生年金手帳
4. 筆談ボード
5. 補聴器
6. 携帯電話
7. 40デシベル
8. 70デシベル</t>
    <rPh sb="3" eb="10">
      <t>ショ;シャネンキンテチョウ</t>
    </rPh>
    <rPh sb="14" eb="21">
      <t>シンタイショ;シャテチョウ</t>
    </rPh>
    <rPh sb="25" eb="31">
      <t>コウセイネンキンテチョウ</t>
    </rPh>
    <rPh sb="35" eb="37">
      <t>ヒツダン</t>
    </rPh>
    <rPh sb="44" eb="47">
      <t>ホチョウキ</t>
    </rPh>
    <rPh sb="51" eb="55">
      <t>ケイタイデンワ</t>
    </rPh>
    <phoneticPr fontId="2"/>
  </si>
  <si>
    <t>2,5,8</t>
    <phoneticPr fontId="2"/>
  </si>
  <si>
    <t>1. 頭脳
2. ことば
3. 声の調子
4. 指文字
5. 言語コミュニケーション
6. 非言語コミュニケーション
7. 文字
8. メール</t>
    <rPh sb="3" eb="5">
      <t>ズノウ</t>
    </rPh>
    <rPh sb="16" eb="17">
      <t>コエ</t>
    </rPh>
    <rPh sb="18" eb="20">
      <t>チョウシ</t>
    </rPh>
    <rPh sb="24" eb="27">
      <t>ユビモジ</t>
    </rPh>
    <rPh sb="31" eb="42">
      <t>ゲンゴcc;</t>
    </rPh>
    <rPh sb="46" eb="49">
      <t>ヒゲンゴ</t>
    </rPh>
    <rPh sb="62" eb="64">
      <t>モジ</t>
    </rPh>
    <phoneticPr fontId="2"/>
  </si>
  <si>
    <t>2,6,3</t>
    <phoneticPr fontId="2"/>
  </si>
  <si>
    <t>世界には数千もの言語があると言われていますがその伝達方法を見ると音声言語と（ア）言語に二分されます。音声言語は（イ）に依存するだけではありません。文字は音声言語を（ウ）したものです。そのため、文字はろう者も聞こえる人も双方が共通に利用できます。</t>
    <rPh sb="0" eb="2">
      <t>セカイ</t>
    </rPh>
    <rPh sb="4" eb="6">
      <t>スウセン</t>
    </rPh>
    <rPh sb="8" eb="10">
      <t>ゲンゴ</t>
    </rPh>
    <rPh sb="14" eb="15">
      <t>イ</t>
    </rPh>
    <rPh sb="24" eb="28">
      <t>デンタツホウホウ</t>
    </rPh>
    <rPh sb="29" eb="30">
      <t>ミ</t>
    </rPh>
    <rPh sb="32" eb="36">
      <t>オンセイゲンゴ</t>
    </rPh>
    <rPh sb="40" eb="42">
      <t>ゲンゴ</t>
    </rPh>
    <rPh sb="43" eb="45">
      <t>ニブン</t>
    </rPh>
    <rPh sb="50" eb="54">
      <t>オンセイゲンゴ</t>
    </rPh>
    <rPh sb="59" eb="61">
      <t>イソン</t>
    </rPh>
    <rPh sb="73" eb="75">
      <t>モジ</t>
    </rPh>
    <rPh sb="76" eb="80">
      <t>オンセイゲンゴ</t>
    </rPh>
    <rPh sb="96" eb="98">
      <t>モジ</t>
    </rPh>
    <rPh sb="101" eb="102">
      <t>シャ</t>
    </rPh>
    <rPh sb="103" eb="104">
      <t>キ</t>
    </rPh>
    <rPh sb="107" eb="108">
      <t>r</t>
    </rPh>
    <rPh sb="109" eb="111">
      <t>ソウホウ</t>
    </rPh>
    <rPh sb="112" eb="114">
      <t>キョウツウ</t>
    </rPh>
    <rPh sb="115" eb="117">
      <t>リヨウ</t>
    </rPh>
    <phoneticPr fontId="2"/>
  </si>
  <si>
    <t>1. 視覚化
2. 視覚
3. 聴覚
4. 標準化
5. 方言
6. 概念
7. 筆談
8. 手話</t>
    <rPh sb="3" eb="6">
      <t>シカクカ</t>
    </rPh>
    <rPh sb="10" eb="12">
      <t>シカク</t>
    </rPh>
    <rPh sb="16" eb="18">
      <t>チョウカク</t>
    </rPh>
    <rPh sb="22" eb="25">
      <t>ヒョウジュンカ</t>
    </rPh>
    <rPh sb="29" eb="31">
      <t>ホウゲン</t>
    </rPh>
    <rPh sb="35" eb="37">
      <t>ガイネン</t>
    </rPh>
    <rPh sb="41" eb="43">
      <t>ヒツダン</t>
    </rPh>
    <rPh sb="47" eb="49">
      <t>シ;</t>
    </rPh>
    <phoneticPr fontId="2"/>
  </si>
  <si>
    <t>8,3,1</t>
    <phoneticPr fontId="2"/>
  </si>
  <si>
    <t>Year</t>
    <phoneticPr fontId="2"/>
  </si>
  <si>
    <t>Type</t>
    <phoneticPr fontId="2"/>
  </si>
  <si>
    <t>unknown</t>
    <phoneticPr fontId="2"/>
  </si>
  <si>
    <t>Year</t>
    <phoneticPr fontId="2"/>
  </si>
  <si>
    <t>Type</t>
    <phoneticPr fontId="2"/>
  </si>
  <si>
    <t>Answer</t>
    <phoneticPr fontId="2"/>
  </si>
  <si>
    <t>2. 要約筆記。要約筆記は聴覚障害者の中でも中途失聴者や難聴者に対する支援方法。手書きやパソコンテイクといった方法がある。</t>
  </si>
  <si>
    <t>1. 話し手の表情や口元が見える位置や顔の向きを考えて話すのがいい。手話は口元も含めて顔の表情が見やすい工夫をすることが重要である</t>
  </si>
  <si>
    <t>4. ラ。ラはアルファベットのRからきている</t>
  </si>
  <si>
    <t>2. 手話はどの国も同じである。手話は各国で異なる。</t>
  </si>
  <si>
    <t>1. 補聴器を使用すると音の聞き分けが良くなる。1は伝音声難聴の特徴である。</t>
  </si>
  <si>
    <t>3. 障害者権利条約。日本障害フォーラムは全日本ろうあ連盟などの13団体で構成されている。障害者施策の推進やイエローリボン運動などの啓発活動も行う。</t>
  </si>
  <si>
    <t>3. 同じ立場や障害を持っている人同士で行うカウンセリング。さまざまな場面で自分自身で選択し決定する自立生活を目指す仲間を（ピア）を作り、お互いに平等な立場で話を聞きあってサポートすること</t>
  </si>
  <si>
    <t>3. 厚生労働省。1973年に労働省（厚生労働省）が聴覚障害者の求職相談などのために手話協力員を設置した。</t>
  </si>
  <si>
    <t>4. 完全参加と平等。障害者が社会生活および社会への発展へ完全に参加できること、ほかの人々との平等な生活が営めること、経済的および社会的発展によって改善される生活状況を享受できることを目的とした。</t>
  </si>
  <si>
    <t>2. 頸肩腕障害。上腕から前腕にかけて疲労感や脱力感・痛みなどが起き、重なることで慢性的なだるさや食用低下などが現れる状態</t>
  </si>
  <si>
    <t>1. デフリンピック。聞こえないことをデフという。ろう者のオリンピックという意味合いでデフリンピックという。</t>
  </si>
  <si>
    <t>3. 鳥取県。2013年に鳥取県で制定され、全国の自治体へと波及して2024年時点では38都道府県21区357市110町6村、計532自治体で制定された。</t>
  </si>
  <si>
    <t>3. 聴覚障害者情報提供施設。1990年に身体障害者福祉法が改正されて、聴覚障害者情報提供施設を設置することができると定められた。</t>
  </si>
  <si>
    <t>4. 障害者週間。2004年6月に障害者基本法が改正されて12月9日を障害者の日と定めていたものを12月3日～9日を障害者週間と定めた。</t>
  </si>
  <si>
    <t>2. 法定雇用率。障害者雇用促進法は障害者の職業安定を図ることを目的とする法律。職業リハビリテーションの促進や障害に対する差別の禁止などが規定される。</t>
  </si>
  <si>
    <t>1. 手話の語彙の一部になることがある。指文字を表現の一部にする手話単語もたくさんあります。施設の手話は指文字のシを用います。</t>
  </si>
  <si>
    <t>1. 経済と商売。全日本ろうあ連盟発行「わたしたちの手話 学習辞典1」などを参照。</t>
  </si>
  <si>
    <t>2. 広島。広島の手話は宮島にある厳島神社の鳥居の形から作られています。</t>
  </si>
  <si>
    <t>2. プライバシー。全日本ろうあ連盟発行「わたしたちの手話 学習辞典1」などを参照。</t>
  </si>
  <si>
    <t>3. 基準。【基準】以外はすべて両手こぶしを使った手話表現です。</t>
  </si>
  <si>
    <t>4. 虹。【虹】の手話は事象そのものから成り立っています。ちなみに虹を七色と認識しているのは日本の特徴のようです。</t>
  </si>
  <si>
    <t>2. 音の長さ。音の三要素は「音の高さ」「音の大きさ」「音色」の３つからなります。</t>
  </si>
  <si>
    <t>1. 障害者基本法。2011年の障害者基本法改正で第3条第11項第3号に規定されたことによって言語性が認められたといわれています。</t>
  </si>
  <si>
    <t>2. 目で聴くテレビ。1995年の阪神淡路大震災の反省を踏まえて1998年から手話と字幕を付けた目で聴くテレビがスタートしました。</t>
  </si>
  <si>
    <t>1. バリアフリー。バリアフリーは高齢者や障害者等が生活する上での障壁（バリア）を除去（フリー）することです。社会モデルは高齢者や障害者等が生活するうえで障壁となっているものは社会にあるという考え方です。</t>
  </si>
  <si>
    <t>(ア): 8. 伝音声 (イ): 2. 内耳 (ウ): 4. 補聴器 (エ): 7. 高い。伝音性難聴は空気の振動としての音を内耳に伝える外耳道、鼓膜、耳小骨の部分に障害があるため、振動が伝わりに肉なって音が小さく聞こえる障害です。</t>
  </si>
  <si>
    <t>(ア): 1. 盲唖院 (イ): 6. 教育 (ウ): 7. 差別。日本最初の聾学校として1878年に京都盲唖院、1880年には東京に訓盲院が設立され、教育の場で手話が取り入れられました。</t>
  </si>
  <si>
    <t>(ア): 3. 活動 (イ): 4. 円滑な (ウ): 8. 共生社会。この法律の目的は「すべての障害者があらゆる分野の活動に参加するためにはその必要とする情報の十分な取得利用・円滑な意思疎通が極めて重要であり、障害者による情報の取得利用・意思疎通にかかる施策を総合的に推進し、共生社会の実現に資する」こととされています。</t>
  </si>
  <si>
    <t>(ア): 8. 手のひらの向き (イ): 1. 手話の位置 (ウ): 2. 手指の動き。全日本ろうあ連盟発行「わたしたちの手話 学習辞典1」などを参照。</t>
  </si>
  <si>
    <t>(ア): 3. 全日本ろうあ連盟 (イ): 4. イラスト (ウ): 8. 標準手話。標準手話の全国的な普及と手話サークルの発展に貢献し、日本手話研究所設立への流れを作りました。</t>
  </si>
  <si>
    <t>(ア): 2. 身体障害者手帳 (イ): 5. 補聴器 (ウ): 8. 70デシベル。現在、軽度・中度難聴者に対する補聴器購入費助成に取り組む自治体は増えていますが、少ない状況です。対象年齢が全年齢・65歳以上、18歳以上など自治体によってばらばらです。</t>
  </si>
  <si>
    <t>(ア): 2. ことば (イ): 6. 非言語コミュニケーション (ウ): 3. 声の調子。言葉以外の手段を使って伝える非言語コミュニケーションをうまく使うことで相手により分かりやすく伝えることもあります。</t>
  </si>
  <si>
    <t>(ア): 8. 手話 (イ): 3. 聴覚 (ウ): 1. 視覚化。ろう者は音声言語を視覚化した文字を見て理解できますが耳から入る情報で文字の理解を深めたりすることができないこともあり、文字は苦手だという方がいます。聴覚で知る情報を視覚化すれば聞こえない人・聞こえにくい人はもちろん、聞こえる人にも優しい社会になるでしょう。</t>
  </si>
  <si>
    <t>スピーチ</t>
    <phoneticPr fontId="2"/>
  </si>
  <si>
    <t>4択問題</t>
    <phoneticPr fontId="2"/>
  </si>
  <si>
    <t>穴埋め形式</t>
    <phoneticPr fontId="2"/>
  </si>
  <si>
    <t>私たちは（ア）を使いお互いの感情や意思を伝えあっていますが（ア）よりも表情、視線、身振りなどのほうがより大切な役割を担っていることがあります。これらの（イ）にはメイクや服装、呼吸や（ウ）などもはいります。</t>
    <rPh sb="0" eb="4">
      <t>wテャ</t>
    </rPh>
    <rPh sb="8" eb="9">
      <t>ツカ</t>
    </rPh>
    <rPh sb="11" eb="13">
      <t>l</t>
    </rPh>
    <rPh sb="14" eb="16">
      <t>カンジョウ</t>
    </rPh>
    <rPh sb="17" eb="19">
      <t>イシ</t>
    </rPh>
    <rPh sb="20" eb="21">
      <t>ツタ</t>
    </rPh>
    <rPh sb="38" eb="40">
      <t>シセン</t>
    </rPh>
    <rPh sb="52" eb="54">
      <t>タイセツ</t>
    </rPh>
    <rPh sb="55" eb="57">
      <t>ヤクワリ</t>
    </rPh>
    <rPh sb="58" eb="59">
      <t>ニナ</t>
    </rPh>
    <rPh sb="84" eb="86">
      <t>フクソウ</t>
    </rPh>
    <rPh sb="87" eb="89">
      <t>コキュウ</t>
    </rPh>
    <phoneticPr fontId="2"/>
  </si>
  <si>
    <t>（ア）が1969年に発行した「わたしたちの手話」は手話を（イ）で紹介したわが国では初めての本格的な手話単語集でした。それは（ウ）として位置づけられています。</t>
    <rPh sb="8" eb="9">
      <t>ネン</t>
    </rPh>
    <rPh sb="10" eb="12">
      <t>ハッコウ</t>
    </rPh>
    <rPh sb="21" eb="23">
      <t>シ;</t>
    </rPh>
    <rPh sb="25" eb="27">
      <t>シ;</t>
    </rPh>
    <rPh sb="32" eb="34">
      <t>ショウカイ</t>
    </rPh>
    <rPh sb="38" eb="39">
      <t>クニ</t>
    </rPh>
    <rPh sb="41" eb="42">
      <t>ハジ</t>
    </rPh>
    <rPh sb="45" eb="48">
      <t>ホンカクテキ</t>
    </rPh>
    <rPh sb="49" eb="53">
      <t>シタ;</t>
    </rPh>
    <rPh sb="53" eb="54">
      <t>シュウ</t>
    </rPh>
    <rPh sb="67" eb="69">
      <t>イチ</t>
    </rPh>
    <phoneticPr fontId="2"/>
  </si>
  <si>
    <t>基本単語</t>
    <rPh sb="0" eb="4">
      <t>キホンタンゴ</t>
    </rPh>
    <phoneticPr fontId="2"/>
  </si>
  <si>
    <t>Answer</t>
    <phoneticPr fontId="2"/>
  </si>
  <si>
    <t>1. 忙しい
2. 新しい
3. 浅い
4. 大きい</t>
    <rPh sb="3" eb="4">
      <t>イソガ</t>
    </rPh>
    <rPh sb="10" eb="11">
      <t>アタラ</t>
    </rPh>
    <rPh sb="17" eb="18">
      <t>アサ</t>
    </rPh>
    <rPh sb="23" eb="24">
      <t>オオ</t>
    </rPh>
    <phoneticPr fontId="2"/>
  </si>
  <si>
    <t>1. 方法
2. 安心
3. 得意
4. 質問</t>
    <rPh sb="3" eb="5">
      <t>ホウホウ</t>
    </rPh>
    <rPh sb="9" eb="11">
      <t>アンシン</t>
    </rPh>
    <rPh sb="15" eb="17">
      <t>トクイ</t>
    </rPh>
    <rPh sb="21" eb="23">
      <t>シツモン</t>
    </rPh>
    <phoneticPr fontId="2"/>
  </si>
  <si>
    <t>1. 考える
2. 行く
3. 使う
4. 作る</t>
    <rPh sb="3" eb="4">
      <t>カンガ</t>
    </rPh>
    <rPh sb="10" eb="11">
      <t>イ</t>
    </rPh>
    <rPh sb="16" eb="17">
      <t>ツカ</t>
    </rPh>
    <rPh sb="22" eb="23">
      <t>ツク</t>
    </rPh>
    <phoneticPr fontId="2"/>
  </si>
  <si>
    <t>1. 18
2. 36
3. 72
4. 96</t>
    <phoneticPr fontId="2"/>
  </si>
  <si>
    <t>短文</t>
    <rPh sb="0" eb="2">
      <t>タンブン</t>
    </rPh>
    <phoneticPr fontId="2"/>
  </si>
  <si>
    <t>名前は何ですか？</t>
    <rPh sb="0" eb="2">
      <t>ナマエ</t>
    </rPh>
    <rPh sb="3" eb="4">
      <t>ナン</t>
    </rPh>
    <phoneticPr fontId="2"/>
  </si>
  <si>
    <t>仕事は何ですか？</t>
    <rPh sb="0" eb="2">
      <t>シゴト</t>
    </rPh>
    <rPh sb="3" eb="4">
      <t>ナン</t>
    </rPh>
    <phoneticPr fontId="2"/>
  </si>
  <si>
    <t>何曜日に行きますか？</t>
    <rPh sb="0" eb="3">
      <t>ナンヨウビ</t>
    </rPh>
    <rPh sb="4" eb="5">
      <t>イ</t>
    </rPh>
    <phoneticPr fontId="2"/>
  </si>
  <si>
    <t>得意なのは誰ですか？</t>
    <rPh sb="0" eb="2">
      <t>トクイ</t>
    </rPh>
    <rPh sb="5" eb="6">
      <t>ダレ</t>
    </rPh>
    <phoneticPr fontId="2"/>
  </si>
  <si>
    <t>どこで教えていますか？</t>
    <rPh sb="3" eb="4">
      <t>オシ</t>
    </rPh>
    <phoneticPr fontId="2"/>
  </si>
  <si>
    <t>映画はどうでしたか？</t>
    <rPh sb="0" eb="2">
      <t>エイガ</t>
    </rPh>
    <phoneticPr fontId="2"/>
  </si>
  <si>
    <t>Option</t>
    <phoneticPr fontId="2"/>
  </si>
  <si>
    <t>単語の意味を選択してください。</t>
    <rPh sb="0" eb="2">
      <t>タンゴ</t>
    </rPh>
    <rPh sb="3" eb="5">
      <t>イミ</t>
    </rPh>
    <rPh sb="6" eb="8">
      <t>センタク</t>
    </rPh>
    <phoneticPr fontId="2"/>
  </si>
  <si>
    <t>1. 山田
2. 池田
3. 山本
4. 吉川</t>
    <rPh sb="3" eb="5">
      <t>ヤマダ</t>
    </rPh>
    <rPh sb="9" eb="11">
      <t>イケダ</t>
    </rPh>
    <rPh sb="15" eb="17">
      <t>ヤマモト</t>
    </rPh>
    <rPh sb="21" eb="23">
      <t>ヨシカワ</t>
    </rPh>
    <phoneticPr fontId="2"/>
  </si>
  <si>
    <t>1. ラーメン屋
2. スーパー 
3. パチンコ
4. 料理人</t>
    <rPh sb="7" eb="8">
      <t>ヤ</t>
    </rPh>
    <rPh sb="29" eb="32">
      <t>リョウリニン</t>
    </rPh>
    <phoneticPr fontId="2"/>
  </si>
  <si>
    <t>1. 月曜日
2. 土曜日
3. 木曜日
4. 金曜日</t>
    <rPh sb="3" eb="6">
      <t>ゲy</t>
    </rPh>
    <rPh sb="10" eb="13">
      <t>ドy</t>
    </rPh>
    <rPh sb="17" eb="20">
      <t>モy</t>
    </rPh>
    <rPh sb="24" eb="27">
      <t>キy</t>
    </rPh>
    <phoneticPr fontId="2"/>
  </si>
  <si>
    <t>1. 息子
2. 父
3. 母
4. 娘</t>
    <rPh sb="3" eb="5">
      <t>ムスコ</t>
    </rPh>
    <rPh sb="9" eb="10">
      <t>チチ</t>
    </rPh>
    <rPh sb="14" eb="15">
      <t>ハハ</t>
    </rPh>
    <rPh sb="19" eb="20">
      <t>ムスメ</t>
    </rPh>
    <phoneticPr fontId="2"/>
  </si>
  <si>
    <t>1. サークル
2. クラブ
3. 幼稚園
4. 近所</t>
    <rPh sb="18" eb="21">
      <t>ヨウチエン</t>
    </rPh>
    <rPh sb="25" eb="27">
      <t>キンジョ</t>
    </rPh>
    <phoneticPr fontId="2"/>
  </si>
  <si>
    <t>ストーリー</t>
    <phoneticPr fontId="2"/>
  </si>
  <si>
    <t>準1</t>
    <rPh sb="0" eb="1">
      <t>ジュン</t>
    </rPh>
    <phoneticPr fontId="2"/>
  </si>
  <si>
    <t>1. 寺
2. 神社
3. お墓
4. ホテル</t>
    <rPh sb="3" eb="4">
      <t>テラ</t>
    </rPh>
    <rPh sb="8" eb="10">
      <t>ジンジャ</t>
    </rPh>
    <rPh sb="15" eb="16">
      <t>ハカ</t>
    </rPh>
    <phoneticPr fontId="2"/>
  </si>
  <si>
    <t>1. 徹夜
2. 行事
3. 中止
4. バス</t>
    <rPh sb="3" eb="5">
      <t>テツヤ</t>
    </rPh>
    <rPh sb="9" eb="11">
      <t>ギョウジ</t>
    </rPh>
    <rPh sb="15" eb="17">
      <t>チュウシ</t>
    </rPh>
    <phoneticPr fontId="2"/>
  </si>
  <si>
    <t>1. 岐阜
2. 埼玉
3. 香川
4. 長崎</t>
    <rPh sb="3" eb="5">
      <t>ギフ</t>
    </rPh>
    <rPh sb="9" eb="11">
      <t>サイタマ</t>
    </rPh>
    <rPh sb="15" eb="17">
      <t>カガワ</t>
    </rPh>
    <rPh sb="21" eb="23">
      <t>ナガサキ</t>
    </rPh>
    <phoneticPr fontId="2"/>
  </si>
  <si>
    <t>1. 牛
2. カニ
3. エビ
4. 亀</t>
    <rPh sb="3" eb="4">
      <t>ウシ</t>
    </rPh>
    <rPh sb="20" eb="21">
      <t>カメ</t>
    </rPh>
    <phoneticPr fontId="2"/>
  </si>
  <si>
    <t>1. 1時間
2. 1日
3. 1年
4. 1か月</t>
    <rPh sb="4" eb="6">
      <t>jk</t>
    </rPh>
    <rPh sb="11" eb="12">
      <t>h</t>
    </rPh>
    <rPh sb="17" eb="18">
      <t>ネン</t>
    </rPh>
    <rPh sb="24" eb="25">
      <t>ゲツ</t>
    </rPh>
    <phoneticPr fontId="2"/>
  </si>
  <si>
    <t>どこで勉強していますか？</t>
    <rPh sb="3" eb="5">
      <t>ベンキョウ</t>
    </rPh>
    <phoneticPr fontId="2"/>
  </si>
  <si>
    <t>大阪へ行くのはいつですか？</t>
    <rPh sb="0" eb="2">
      <t>オオサカ</t>
    </rPh>
    <rPh sb="3" eb="4">
      <t>イ</t>
    </rPh>
    <phoneticPr fontId="2"/>
  </si>
  <si>
    <t>彼女にプレゼントするのはなぜですか？</t>
    <rPh sb="0" eb="2">
      <t>カノジョ</t>
    </rPh>
    <phoneticPr fontId="2"/>
  </si>
  <si>
    <t>母はどこで暮らしていますか？</t>
    <rPh sb="0" eb="1">
      <t>ハハ</t>
    </rPh>
    <rPh sb="5" eb="6">
      <t>ク</t>
    </rPh>
    <phoneticPr fontId="2"/>
  </si>
  <si>
    <t>1. 出席する
2. 叱る
3. 操作する
4. 尊敬する</t>
    <rPh sb="3" eb="5">
      <t>シュッセキ</t>
    </rPh>
    <rPh sb="11" eb="12">
      <t>シカ</t>
    </rPh>
    <rPh sb="17" eb="19">
      <t>ソウサ</t>
    </rPh>
    <rPh sb="25" eb="27">
      <t>ソンケイ</t>
    </rPh>
    <phoneticPr fontId="2"/>
  </si>
  <si>
    <t>1. 決める
2. 守る
3. 助ける
4. 助けられる</t>
    <rPh sb="3" eb="4">
      <t>キ</t>
    </rPh>
    <rPh sb="10" eb="11">
      <t>マモ</t>
    </rPh>
    <rPh sb="16" eb="17">
      <t>タス</t>
    </rPh>
    <rPh sb="23" eb="24">
      <t>タス</t>
    </rPh>
    <phoneticPr fontId="2"/>
  </si>
  <si>
    <t>1. 事務所
2. コンビニ
3. スーパー
4. 建物</t>
    <rPh sb="3" eb="6">
      <t>ジムショ</t>
    </rPh>
    <rPh sb="26" eb="28">
      <t>タテモノ</t>
    </rPh>
    <phoneticPr fontId="2"/>
  </si>
  <si>
    <t>1. 熱い
2. 痛い
3. うるさい
4. 苦しい</t>
    <rPh sb="3" eb="4">
      <t>アツ</t>
    </rPh>
    <rPh sb="9" eb="10">
      <t>イタ</t>
    </rPh>
    <rPh sb="23" eb="24">
      <t>クル</t>
    </rPh>
    <phoneticPr fontId="2"/>
  </si>
  <si>
    <t>1. チョコレート
2. プリン
3. バナナ
4. オレンジ</t>
    <phoneticPr fontId="2"/>
  </si>
  <si>
    <t>1. エネルギー
2. サロン
3. ワークショップ
4. カナダ</t>
    <phoneticPr fontId="2"/>
  </si>
  <si>
    <t>1. 会長
2. 室長
3. 議長
4. 部長</t>
    <rPh sb="3" eb="5">
      <t>カイチョウ</t>
    </rPh>
    <rPh sb="9" eb="11">
      <t>シツチョウ</t>
    </rPh>
    <rPh sb="15" eb="17">
      <t>ギチョウ</t>
    </rPh>
    <rPh sb="21" eb="23">
      <t>ブチョウ</t>
    </rPh>
    <phoneticPr fontId="2"/>
  </si>
  <si>
    <t>1. そろそろ
2. いよいよ
3. そのまま
4. そのうち</t>
    <phoneticPr fontId="2"/>
  </si>
  <si>
    <t>1. 私立
2. 個性
3. 公立
4. 比率</t>
    <rPh sb="3" eb="5">
      <t>シリツ</t>
    </rPh>
    <rPh sb="9" eb="11">
      <t>コセイ</t>
    </rPh>
    <rPh sb="15" eb="17">
      <t>コウリツ</t>
    </rPh>
    <rPh sb="21" eb="23">
      <t>ヒリツ</t>
    </rPh>
    <phoneticPr fontId="2"/>
  </si>
  <si>
    <t>1. 憲法
2. 法律
3. ルール
4. 条例</t>
    <rPh sb="3" eb="5">
      <t>ケンポウ</t>
    </rPh>
    <rPh sb="9" eb="11">
      <t>ホウリツ</t>
    </rPh>
    <rPh sb="22" eb="24">
      <t>ジョウレイ</t>
    </rPh>
    <phoneticPr fontId="2"/>
  </si>
  <si>
    <t>1. タイ
2. オホーツク
3. オーストラリア
4. オーストリア</t>
    <phoneticPr fontId="2"/>
  </si>
  <si>
    <t>1. ズルい
2. 大切
3. ショック
4. 参考</t>
    <rPh sb="10" eb="12">
      <t>タイセツ</t>
    </rPh>
    <rPh sb="24" eb="26">
      <t>サンコウ</t>
    </rPh>
    <phoneticPr fontId="2"/>
  </si>
  <si>
    <t>1. だます
2. だまされる
3. 発見する
4. 確認する</t>
    <rPh sb="19" eb="21">
      <t>ハッケン</t>
    </rPh>
    <rPh sb="27" eb="29">
      <t>カk</t>
    </rPh>
    <phoneticPr fontId="2"/>
  </si>
  <si>
    <t>1. 2時から4時
2. 3時から5時
3. 8時から9時
4. 10時から12時</t>
    <rPh sb="4" eb="5">
      <t>ジ</t>
    </rPh>
    <rPh sb="8" eb="9">
      <t>ジ</t>
    </rPh>
    <rPh sb="14" eb="15">
      <t>ジ</t>
    </rPh>
    <rPh sb="18" eb="19">
      <t>ジ</t>
    </rPh>
    <rPh sb="24" eb="25">
      <t>ジ</t>
    </rPh>
    <rPh sb="28" eb="29">
      <t>ジ</t>
    </rPh>
    <rPh sb="35" eb="36">
      <t>ジ</t>
    </rPh>
    <rPh sb="40" eb="41">
      <t>ジ</t>
    </rPh>
    <phoneticPr fontId="2"/>
  </si>
  <si>
    <t>手話サークルは何時から何時までですか？</t>
    <rPh sb="0" eb="6">
      <t>シサ;</t>
    </rPh>
    <rPh sb="7" eb="9">
      <t>ナンジ</t>
    </rPh>
    <rPh sb="11" eb="13">
      <t>ナンジ</t>
    </rPh>
    <phoneticPr fontId="2"/>
  </si>
  <si>
    <t>1. 図書館
2. 学校
3. 友達の家
4. 自分の家</t>
    <rPh sb="3" eb="6">
      <t>トショカン</t>
    </rPh>
    <rPh sb="10" eb="12">
      <t>ガッコウ</t>
    </rPh>
    <rPh sb="16" eb="18">
      <t>トモダチ</t>
    </rPh>
    <rPh sb="19" eb="20">
      <t>イエ</t>
    </rPh>
    <rPh sb="24" eb="26">
      <t>ジf</t>
    </rPh>
    <rPh sb="27" eb="28">
      <t>イエ</t>
    </rPh>
    <phoneticPr fontId="2"/>
  </si>
  <si>
    <t>1. 来週
2. 明日
3. 来年
4. お正月</t>
    <rPh sb="3" eb="5">
      <t>ライシュウ</t>
    </rPh>
    <rPh sb="9" eb="11">
      <t>アシタ</t>
    </rPh>
    <rPh sb="15" eb="17">
      <t>ライネン</t>
    </rPh>
    <rPh sb="22" eb="24">
      <t>ショウガツ</t>
    </rPh>
    <phoneticPr fontId="2"/>
  </si>
  <si>
    <t>1. 退院
2. 結婚
3. 謝罪
4. 感謝</t>
    <rPh sb="3" eb="5">
      <t>タイイン</t>
    </rPh>
    <rPh sb="9" eb="11">
      <t>ケッコン</t>
    </rPh>
    <rPh sb="15" eb="17">
      <t>シャザイ</t>
    </rPh>
    <rPh sb="21" eb="23">
      <t>カンシャ</t>
    </rPh>
    <phoneticPr fontId="2"/>
  </si>
  <si>
    <t>1. 奈良
2. 大阪
3. 東京
4. 広島</t>
    <rPh sb="3" eb="5">
      <t>ナラ</t>
    </rPh>
    <rPh sb="9" eb="11">
      <t>オオサカ</t>
    </rPh>
    <rPh sb="15" eb="17">
      <t>tk</t>
    </rPh>
    <rPh sb="21" eb="23">
      <t>ヒロシマ</t>
    </rPh>
    <phoneticPr fontId="2"/>
  </si>
  <si>
    <t>見に行ったのは何ですか？</t>
    <rPh sb="0" eb="1">
      <t>ミ</t>
    </rPh>
    <rPh sb="2" eb="3">
      <t>イ</t>
    </rPh>
    <rPh sb="7" eb="8">
      <t>ナン</t>
    </rPh>
    <phoneticPr fontId="2"/>
  </si>
  <si>
    <t>厳しいのは誰ですか？</t>
    <rPh sb="0" eb="1">
      <t>キビ</t>
    </rPh>
    <rPh sb="5" eb="6">
      <t>ダレ</t>
    </rPh>
    <phoneticPr fontId="2"/>
  </si>
  <si>
    <t>どこに転居しましたか？</t>
    <rPh sb="3" eb="5">
      <t>テンキョ</t>
    </rPh>
    <phoneticPr fontId="2"/>
  </si>
  <si>
    <t>なぜ心配なのですか？</t>
    <rPh sb="2" eb="4">
      <t>シンパイ</t>
    </rPh>
    <phoneticPr fontId="2"/>
  </si>
  <si>
    <t>気温のことをどう思っていますか？</t>
    <rPh sb="0" eb="2">
      <t>キオン</t>
    </rPh>
    <rPh sb="8" eb="9">
      <t>オモ</t>
    </rPh>
    <phoneticPr fontId="2"/>
  </si>
  <si>
    <t>1. 授業
2. 試合
3. 運動会
4. 文化祭</t>
    <rPh sb="3" eb="5">
      <t>ジュギョウ</t>
    </rPh>
    <rPh sb="9" eb="11">
      <t>シアイ</t>
    </rPh>
    <rPh sb="15" eb="18">
      <t>ウンドウカイ</t>
    </rPh>
    <rPh sb="22" eb="25">
      <t>ブンカサイ</t>
    </rPh>
    <phoneticPr fontId="2"/>
  </si>
  <si>
    <t>1. 父
2. 母
3. 先生
4. 祖父</t>
    <rPh sb="3" eb="4">
      <t>チチ</t>
    </rPh>
    <rPh sb="8" eb="9">
      <t>ハハ</t>
    </rPh>
    <rPh sb="13" eb="15">
      <t>センセイ</t>
    </rPh>
    <rPh sb="19" eb="21">
      <t>ソフ</t>
    </rPh>
    <phoneticPr fontId="2"/>
  </si>
  <si>
    <t>1. 札幌
2. 堺
3. 浜松
4. 九州</t>
    <rPh sb="3" eb="5">
      <t>サッポロ</t>
    </rPh>
    <rPh sb="9" eb="10">
      <t>サカイ</t>
    </rPh>
    <rPh sb="14" eb="16">
      <t>ハママツ</t>
    </rPh>
    <rPh sb="20" eb="22">
      <t>キュウシュウ</t>
    </rPh>
    <phoneticPr fontId="2"/>
  </si>
  <si>
    <t>1. 水不足
2. コメ不足
3. 電力不足
4. 少子高齢化</t>
    <rPh sb="3" eb="6">
      <t>ミズブソク</t>
    </rPh>
    <rPh sb="12" eb="14">
      <t>ブソク</t>
    </rPh>
    <rPh sb="18" eb="22">
      <t>デンリョクブソク</t>
    </rPh>
    <rPh sb="26" eb="31">
      <t>ショウシコウレイカ</t>
    </rPh>
    <phoneticPr fontId="2"/>
  </si>
  <si>
    <t>1. 我慢できる
2. 悲しい
3. 落ち着く
4. 腹が立つ</t>
    <rPh sb="3" eb="5">
      <t>ガマン</t>
    </rPh>
    <rPh sb="12" eb="13">
      <t>カナ</t>
    </rPh>
    <rPh sb="19" eb="20">
      <t>オ</t>
    </rPh>
    <rPh sb="21" eb="22">
      <t>ツ</t>
    </rPh>
    <rPh sb="27" eb="28">
      <t>ハラ</t>
    </rPh>
    <rPh sb="29" eb="30">
      <t>タ</t>
    </rPh>
    <phoneticPr fontId="2"/>
  </si>
  <si>
    <t>私の仕事は何ですか？</t>
    <rPh sb="0" eb="1">
      <t>w</t>
    </rPh>
    <rPh sb="2" eb="4">
      <t>シゴト</t>
    </rPh>
    <rPh sb="5" eb="6">
      <t>ナン</t>
    </rPh>
    <phoneticPr fontId="2"/>
  </si>
  <si>
    <t>ストーリーナンバリング</t>
    <phoneticPr fontId="2"/>
  </si>
  <si>
    <t>何歳児を担当していますか？</t>
    <rPh sb="0" eb="3">
      <t>ナンサイジ</t>
    </rPh>
    <rPh sb="4" eb="6">
      <t>タントウ</t>
    </rPh>
    <phoneticPr fontId="2"/>
  </si>
  <si>
    <t>どんな子供になってほしいと思っていますか？</t>
    <rPh sb="3" eb="5">
      <t>コドモ</t>
    </rPh>
    <rPh sb="13" eb="14">
      <t>オモ</t>
    </rPh>
    <phoneticPr fontId="2"/>
  </si>
  <si>
    <t>手話サークル会員はどのような年齢層ですか？</t>
    <rPh sb="0" eb="6">
      <t>シサ;</t>
    </rPh>
    <rPh sb="6" eb="8">
      <t>カイイン</t>
    </rPh>
    <rPh sb="14" eb="17">
      <t>ネンレイソウ</t>
    </rPh>
    <phoneticPr fontId="2"/>
  </si>
  <si>
    <t>活動の場所はどこですか？</t>
    <rPh sb="0" eb="2">
      <t>カツドウ</t>
    </rPh>
    <rPh sb="3" eb="5">
      <t>バショ</t>
    </rPh>
    <phoneticPr fontId="2"/>
  </si>
  <si>
    <t>サークルの何を見直したいと言っていますか？</t>
    <rPh sb="5" eb="6">
      <t>ナニ</t>
    </rPh>
    <rPh sb="7" eb="9">
      <t>ミナオ</t>
    </rPh>
    <rPh sb="13" eb="14">
      <t>イ</t>
    </rPh>
    <phoneticPr fontId="2"/>
  </si>
  <si>
    <t>仕事をしている部署はどこですか？</t>
    <rPh sb="0" eb="2">
      <t>シゴト</t>
    </rPh>
    <rPh sb="7" eb="9">
      <t>ブショ</t>
    </rPh>
    <phoneticPr fontId="2"/>
  </si>
  <si>
    <t>ダイエットを始めた理由は何と言っていますか？</t>
    <rPh sb="6" eb="7">
      <t>ハジ</t>
    </rPh>
    <rPh sb="9" eb="11">
      <t>リユウ</t>
    </rPh>
    <rPh sb="12" eb="13">
      <t>ナニ</t>
    </rPh>
    <rPh sb="14" eb="15">
      <t>イ</t>
    </rPh>
    <phoneticPr fontId="2"/>
  </si>
  <si>
    <t>仕事中に倒れたのはなぜですか？</t>
    <rPh sb="0" eb="3">
      <t>シゴトチュウ</t>
    </rPh>
    <rPh sb="4" eb="5">
      <t>タオ</t>
    </rPh>
    <phoneticPr fontId="2"/>
  </si>
  <si>
    <t>1. 保育士
2. ホームヘルパー
3. 介護福祉士
4. 看護師</t>
    <rPh sb="3" eb="6">
      <t>ホイクシ</t>
    </rPh>
    <rPh sb="21" eb="26">
      <t>カイゴフクシシ</t>
    </rPh>
    <rPh sb="30" eb="33">
      <t>カンゴシ</t>
    </rPh>
    <phoneticPr fontId="2"/>
  </si>
  <si>
    <t>1. 2歳児
2. 3歳児
3. 4歳児
4. 5歳児</t>
    <rPh sb="4" eb="6">
      <t>サイジ</t>
    </rPh>
    <rPh sb="11" eb="13">
      <t>サイジ</t>
    </rPh>
    <rPh sb="18" eb="20">
      <t>サイジ</t>
    </rPh>
    <rPh sb="25" eb="27">
      <t>サイジ</t>
    </rPh>
    <phoneticPr fontId="2"/>
  </si>
  <si>
    <t>1. 想像力豊かな子
2. 誰にでも優しい子
3. 明るく元気な子
4. 両親を大切にする子</t>
    <rPh sb="3" eb="6">
      <t>ソウゾウリョク</t>
    </rPh>
    <rPh sb="6" eb="7">
      <t>ユタ</t>
    </rPh>
    <rPh sb="9" eb="10">
      <t>コ</t>
    </rPh>
    <rPh sb="14" eb="15">
      <t>ダレ</t>
    </rPh>
    <rPh sb="18" eb="19">
      <t>ヤサ</t>
    </rPh>
    <rPh sb="21" eb="22">
      <t>コ</t>
    </rPh>
    <rPh sb="26" eb="27">
      <t>アカ</t>
    </rPh>
    <rPh sb="29" eb="31">
      <t>ゲンキ</t>
    </rPh>
    <rPh sb="32" eb="33">
      <t>コ</t>
    </rPh>
    <rPh sb="37" eb="39">
      <t>リョウシン</t>
    </rPh>
    <rPh sb="40" eb="42">
      <t>タイセツ</t>
    </rPh>
    <rPh sb="45" eb="46">
      <t>コ</t>
    </rPh>
    <phoneticPr fontId="2"/>
  </si>
  <si>
    <t>1. 16歳から65歳
2. 19歳から81歳
3. 19歳から72歳
4. 60歳から99歳</t>
    <rPh sb="5" eb="6">
      <t>サイ</t>
    </rPh>
    <rPh sb="10" eb="11">
      <t>サイ</t>
    </rPh>
    <rPh sb="17" eb="18">
      <t>サイ</t>
    </rPh>
    <rPh sb="22" eb="23">
      <t>サイ</t>
    </rPh>
    <rPh sb="29" eb="30">
      <t>サイ</t>
    </rPh>
    <rPh sb="34" eb="35">
      <t>サイ</t>
    </rPh>
    <rPh sb="41" eb="42">
      <t>サイ</t>
    </rPh>
    <rPh sb="46" eb="47">
      <t>サイ</t>
    </rPh>
    <phoneticPr fontId="2"/>
  </si>
  <si>
    <t>1. 公民館
2. 福祉センター
3. スポーツ会館
4. 居酒屋</t>
    <rPh sb="3" eb="6">
      <t>コウミンカン</t>
    </rPh>
    <rPh sb="10" eb="12">
      <t>フクシ</t>
    </rPh>
    <rPh sb="24" eb="26">
      <t>カイカン</t>
    </rPh>
    <rPh sb="30" eb="33">
      <t>イザカヤ</t>
    </rPh>
    <phoneticPr fontId="2"/>
  </si>
  <si>
    <t>1. 会費
2. 規約
3. 活動日
4. 学習方法</t>
    <rPh sb="3" eb="5">
      <t>カイヒ</t>
    </rPh>
    <rPh sb="9" eb="11">
      <t>キヤク</t>
    </rPh>
    <rPh sb="15" eb="18">
      <t>カツドウビ</t>
    </rPh>
    <rPh sb="22" eb="26">
      <t>ガクシュウホウホウ</t>
    </rPh>
    <phoneticPr fontId="2"/>
  </si>
  <si>
    <t>1. 経理課
2. 営業課
3. 総務課
4. 管理課</t>
    <rPh sb="3" eb="6">
      <t>ケイリカ</t>
    </rPh>
    <rPh sb="10" eb="13">
      <t>エイギョウカ</t>
    </rPh>
    <rPh sb="17" eb="20">
      <t>ソウムカ</t>
    </rPh>
    <rPh sb="24" eb="27">
      <t>カンリカ</t>
    </rPh>
    <phoneticPr fontId="2"/>
  </si>
  <si>
    <t>1. 片思いの彼に好かれたいから
2. 太りすぎていたから
3. 痩せないと病気になると言われたから
4. ダイエットブームだから</t>
    <rPh sb="3" eb="5">
      <t>カタオモ</t>
    </rPh>
    <rPh sb="7" eb="8">
      <t>カレ</t>
    </rPh>
    <rPh sb="9" eb="10">
      <t>ス</t>
    </rPh>
    <rPh sb="20" eb="21">
      <t>フト</t>
    </rPh>
    <rPh sb="33" eb="34">
      <t>ヤ</t>
    </rPh>
    <rPh sb="38" eb="40">
      <t>ビョウキ</t>
    </rPh>
    <rPh sb="44" eb="45">
      <t>イ</t>
    </rPh>
    <phoneticPr fontId="2"/>
  </si>
  <si>
    <t>国会をテレビで見てがっかりしたのはなぜですか？</t>
    <rPh sb="0" eb="2">
      <t>コッカイ</t>
    </rPh>
    <rPh sb="7" eb="8">
      <t>ミ</t>
    </rPh>
    <phoneticPr fontId="2"/>
  </si>
  <si>
    <t>何について充実してほしいと言っていますか？</t>
    <rPh sb="0" eb="1">
      <t>ナニ</t>
    </rPh>
    <rPh sb="5" eb="7">
      <t>ジュウジツ</t>
    </rPh>
    <rPh sb="13" eb="14">
      <t>イ</t>
    </rPh>
    <phoneticPr fontId="2"/>
  </si>
  <si>
    <t>早期実現を期待しているのは何ですか？</t>
    <rPh sb="0" eb="4">
      <t>ソウキジツゲン</t>
    </rPh>
    <rPh sb="5" eb="7">
      <t>キタイ</t>
    </rPh>
    <rPh sb="13" eb="14">
      <t>ナン</t>
    </rPh>
    <phoneticPr fontId="2"/>
  </si>
  <si>
    <t>どんな話題が増えましたか？</t>
    <rPh sb="3" eb="5">
      <t>ワダイ</t>
    </rPh>
    <rPh sb="6" eb="7">
      <t>フ</t>
    </rPh>
    <phoneticPr fontId="2"/>
  </si>
  <si>
    <t>どんなことが不安ですか？</t>
    <rPh sb="6" eb="8">
      <t>フアン</t>
    </rPh>
    <phoneticPr fontId="2"/>
  </si>
  <si>
    <t>どんな心構えが大切だと言っていますか？</t>
    <rPh sb="3" eb="5">
      <t>h;ガマ</t>
    </rPh>
    <rPh sb="7" eb="9">
      <t>タイセツ</t>
    </rPh>
    <rPh sb="11" eb="12">
      <t>イ</t>
    </rPh>
    <phoneticPr fontId="2"/>
  </si>
  <si>
    <t>私が旅をする方法は何だと言っていますか？</t>
    <rPh sb="0" eb="1">
      <t>w</t>
    </rPh>
    <rPh sb="2" eb="3">
      <t>タビ</t>
    </rPh>
    <rPh sb="6" eb="8">
      <t>ホウホウ</t>
    </rPh>
    <rPh sb="9" eb="10">
      <t>ナン</t>
    </rPh>
    <rPh sb="12" eb="13">
      <t>イ</t>
    </rPh>
    <phoneticPr fontId="2"/>
  </si>
  <si>
    <t>明日はどこへ旅したいと言っていますか？</t>
    <rPh sb="0" eb="2">
      <t>アシタ</t>
    </rPh>
    <rPh sb="6" eb="7">
      <t>タビ</t>
    </rPh>
    <rPh sb="11" eb="12">
      <t>イ</t>
    </rPh>
    <phoneticPr fontId="2"/>
  </si>
  <si>
    <t>1. 居眠りしている議員がいるから
2. 官僚の作った答弁書を読んでいるから
3. スマホでゲームをしているから
4. 大臣へのお世辞が多いから</t>
    <rPh sb="3" eb="5">
      <t>イネム</t>
    </rPh>
    <rPh sb="10" eb="12">
      <t>ギイン</t>
    </rPh>
    <rPh sb="21" eb="23">
      <t>カンリョウ</t>
    </rPh>
    <rPh sb="24" eb="25">
      <t>ツク</t>
    </rPh>
    <rPh sb="27" eb="30">
      <t>トウベンショ</t>
    </rPh>
    <rPh sb="31" eb="32">
      <t>ヨ</t>
    </rPh>
    <rPh sb="60" eb="62">
      <t>ダイジン</t>
    </rPh>
    <rPh sb="65" eb="67">
      <t>セジ</t>
    </rPh>
    <rPh sb="68" eb="69">
      <t>オオ</t>
    </rPh>
    <phoneticPr fontId="2"/>
  </si>
  <si>
    <t>1. 学費無料化
2. 防衛費
3. コロナ対策
4. 子ども政策</t>
    <rPh sb="3" eb="8">
      <t>ガクヒムリョウカ</t>
    </rPh>
    <rPh sb="12" eb="15">
      <t>ボウエイヒ</t>
    </rPh>
    <rPh sb="22" eb="24">
      <t>タイサク</t>
    </rPh>
    <rPh sb="28" eb="29">
      <t>コ</t>
    </rPh>
    <rPh sb="31" eb="33">
      <t>セイサク</t>
    </rPh>
    <phoneticPr fontId="2"/>
  </si>
  <si>
    <t>1. 難聴児の施策に関する法
2. 手話言語法
3. 障害者雇用法
4. 憲法の改正法案</t>
    <rPh sb="3" eb="5">
      <t>ナンチョウ</t>
    </rPh>
    <rPh sb="5" eb="6">
      <t>ジ</t>
    </rPh>
    <rPh sb="7" eb="9">
      <t>シサク</t>
    </rPh>
    <rPh sb="10" eb="11">
      <t>カン</t>
    </rPh>
    <rPh sb="13" eb="14">
      <t>ホウ</t>
    </rPh>
    <rPh sb="18" eb="23">
      <t>シ;ゲンゴホウ</t>
    </rPh>
    <rPh sb="27" eb="33">
      <t>ショ;シャコヨウホウ</t>
    </rPh>
    <rPh sb="37" eb="39">
      <t>ケンポウ</t>
    </rPh>
    <rPh sb="40" eb="44">
      <t>カイセイホウアン</t>
    </rPh>
    <phoneticPr fontId="2"/>
  </si>
  <si>
    <t>1. 趣味のサークル活動
2. 年金
3. 健康や病気
4. 地域のボランティア活動</t>
    <rPh sb="3" eb="5">
      <t>シュミ</t>
    </rPh>
    <rPh sb="10" eb="12">
      <t>カツドウ</t>
    </rPh>
    <rPh sb="16" eb="18">
      <t>ネンキン</t>
    </rPh>
    <rPh sb="22" eb="24">
      <t>ケンコウ</t>
    </rPh>
    <rPh sb="25" eb="27">
      <t>ビョウキ</t>
    </rPh>
    <rPh sb="31" eb="33">
      <t>チイキ</t>
    </rPh>
    <rPh sb="40" eb="42">
      <t>カツドウ</t>
    </rPh>
    <phoneticPr fontId="2"/>
  </si>
  <si>
    <t>1. できなくなることが増えてくる
2. たくわえが減ってくる
3. 付き合いが減っていく
4. 手話通訳の依頼が増えていく</t>
    <rPh sb="12" eb="13">
      <t>フ</t>
    </rPh>
    <rPh sb="26" eb="27">
      <t>ヘ</t>
    </rPh>
    <rPh sb="35" eb="36">
      <t>ツ</t>
    </rPh>
    <rPh sb="37" eb="38">
      <t>ア</t>
    </rPh>
    <rPh sb="40" eb="41">
      <t>ヘ</t>
    </rPh>
    <rPh sb="49" eb="53">
      <t>シ;ツウヤク</t>
    </rPh>
    <rPh sb="54" eb="56">
      <t>イライ</t>
    </rPh>
    <rPh sb="57" eb="58">
      <t>フ</t>
    </rPh>
    <phoneticPr fontId="2"/>
  </si>
  <si>
    <t>1. 蓄えを減らさないようにする
2. 付き合いを積極的にする
3. できることがあると考える
4. 終活して覚悟を持っておく</t>
    <rPh sb="3" eb="4">
      <t>タクワ</t>
    </rPh>
    <rPh sb="6" eb="7">
      <t>ヘ</t>
    </rPh>
    <rPh sb="20" eb="21">
      <t>ツ</t>
    </rPh>
    <rPh sb="22" eb="23">
      <t>ア</t>
    </rPh>
    <rPh sb="25" eb="28">
      <t>セt;</t>
    </rPh>
    <rPh sb="44" eb="45">
      <t>カンガ</t>
    </rPh>
    <rPh sb="51" eb="53">
      <t>シュウカツ</t>
    </rPh>
    <rPh sb="55" eb="57">
      <t>カクゴ</t>
    </rPh>
    <rPh sb="58" eb="59">
      <t>モ</t>
    </rPh>
    <phoneticPr fontId="2"/>
  </si>
  <si>
    <t>1. 図書館の本を読む
2. 旅行の体験談を聞く
3. 映画を見る
4. テレビの旅番組を見る</t>
    <rPh sb="3" eb="6">
      <t>トショカン</t>
    </rPh>
    <rPh sb="7" eb="8">
      <t>ホン</t>
    </rPh>
    <rPh sb="9" eb="10">
      <t>ヨ</t>
    </rPh>
    <rPh sb="15" eb="17">
      <t>リョコウ</t>
    </rPh>
    <rPh sb="18" eb="21">
      <t>タイケンダン</t>
    </rPh>
    <rPh sb="22" eb="23">
      <t>キ</t>
    </rPh>
    <rPh sb="28" eb="30">
      <t>エイガ</t>
    </rPh>
    <rPh sb="31" eb="32">
      <t>ミ</t>
    </rPh>
    <rPh sb="41" eb="44">
      <t>タビb;</t>
    </rPh>
    <rPh sb="45" eb="46">
      <t>ミ</t>
    </rPh>
    <phoneticPr fontId="2"/>
  </si>
  <si>
    <t>1. ソウル
2. ハワイ
3. ベトナム
4. フィンランド</t>
    <phoneticPr fontId="2"/>
  </si>
  <si>
    <t>デフリンピックは初めての大会の時どんな名称でしたか。</t>
    <rPh sb="8" eb="9">
      <t>ハジ</t>
    </rPh>
    <rPh sb="12" eb="14">
      <t>タイカイ</t>
    </rPh>
    <rPh sb="15" eb="16">
      <t>トキ</t>
    </rPh>
    <rPh sb="19" eb="21">
      <t>メイショウ</t>
    </rPh>
    <phoneticPr fontId="2"/>
  </si>
  <si>
    <t>東京で開かれるデフリンピックは何回目の大会ですか。</t>
    <rPh sb="0" eb="2">
      <t>tk</t>
    </rPh>
    <rPh sb="3" eb="4">
      <t>ヒラ</t>
    </rPh>
    <rPh sb="15" eb="18">
      <t>ナンカイメ</t>
    </rPh>
    <rPh sb="19" eb="21">
      <t>タイカイ</t>
    </rPh>
    <phoneticPr fontId="2"/>
  </si>
  <si>
    <t>デフリンピックの開催をきっかけに願っていることは何ですか。</t>
    <rPh sb="8" eb="10">
      <t>カイサイ</t>
    </rPh>
    <rPh sb="16" eb="17">
      <t>ネガ</t>
    </rPh>
    <rPh sb="24" eb="25">
      <t>ナン</t>
    </rPh>
    <phoneticPr fontId="2"/>
  </si>
  <si>
    <t>どんな自治体が増えていると言っていますか？</t>
    <rPh sb="2" eb="14">
      <t>アジチタイガフエテイルトイ</t>
    </rPh>
    <phoneticPr fontId="2"/>
  </si>
  <si>
    <t>ろう者と手話の理解を広めるため作られているのは何と言っていますか？</t>
    <rPh sb="2" eb="3">
      <t>シャ</t>
    </rPh>
    <rPh sb="4" eb="6">
      <t>シ;</t>
    </rPh>
    <rPh sb="7" eb="9">
      <t>リカイ</t>
    </rPh>
    <rPh sb="10" eb="11">
      <t>ヒロ</t>
    </rPh>
    <rPh sb="15" eb="16">
      <t>ツク</t>
    </rPh>
    <rPh sb="23" eb="24">
      <t>ナニ</t>
    </rPh>
    <rPh sb="25" eb="26">
      <t>イ</t>
    </rPh>
    <phoneticPr fontId="2"/>
  </si>
  <si>
    <t>聞こえないと答えたらどんな対応をされましたか？</t>
    <rPh sb="0" eb="1">
      <t>キ</t>
    </rPh>
    <rPh sb="6" eb="7">
      <t>コタ</t>
    </rPh>
    <rPh sb="13" eb="15">
      <t>タl</t>
    </rPh>
    <phoneticPr fontId="2"/>
  </si>
  <si>
    <t>どんな意見を出しましたか？</t>
    <rPh sb="3" eb="5">
      <t>イケン</t>
    </rPh>
    <rPh sb="6" eb="7">
      <t>ダ</t>
    </rPh>
    <phoneticPr fontId="2"/>
  </si>
  <si>
    <t>行政から言われたことは何ですか？</t>
    <rPh sb="0" eb="2">
      <t>ギョウセイ</t>
    </rPh>
    <rPh sb="4" eb="5">
      <t>イ</t>
    </rPh>
    <rPh sb="11" eb="12">
      <t>ナン</t>
    </rPh>
    <phoneticPr fontId="2"/>
  </si>
  <si>
    <t>1. パラリンピック
2. 世界ろう者競技大会
3. 国際聴覚障害者競技大会
4. 世界ろう者スポーツ大会</t>
    <rPh sb="14" eb="16">
      <t>セカイ</t>
    </rPh>
    <rPh sb="18" eb="23">
      <t>シャキョウギタイカイ</t>
    </rPh>
    <rPh sb="27" eb="34">
      <t>コクサイチョウカクショ;シャ</t>
    </rPh>
    <rPh sb="34" eb="38">
      <t>キョウギタイカイ</t>
    </rPh>
    <rPh sb="42" eb="44">
      <t>セカイ</t>
    </rPh>
    <rPh sb="46" eb="51">
      <t>シャsp</t>
    </rPh>
    <rPh sb="51" eb="53">
      <t>タイカイ</t>
    </rPh>
    <phoneticPr fontId="2"/>
  </si>
  <si>
    <t>1. ろう者のスポーツ選手が増えてほしい
2. オリンピックにろう者選手がどんどん出場してほしい
3. ろう者や手話の理解が定着してほしい
4. 手話言語法が制定されてほしい</t>
    <rPh sb="5" eb="6">
      <t>シャ</t>
    </rPh>
    <rPh sb="11" eb="13">
      <t>センシュ</t>
    </rPh>
    <rPh sb="14" eb="15">
      <t>フ</t>
    </rPh>
    <rPh sb="33" eb="34">
      <t>シャ</t>
    </rPh>
    <rPh sb="34" eb="36">
      <t>センシュ</t>
    </rPh>
    <rPh sb="41" eb="43">
      <t>シュツジョウ</t>
    </rPh>
    <rPh sb="54" eb="55">
      <t>シャ</t>
    </rPh>
    <rPh sb="56" eb="58">
      <t>シュワ</t>
    </rPh>
    <rPh sb="59" eb="61">
      <t>リカイ</t>
    </rPh>
    <rPh sb="62" eb="64">
      <t>テイチャク</t>
    </rPh>
    <rPh sb="73" eb="78">
      <t>シ;ゲンゴホウ</t>
    </rPh>
    <rPh sb="79" eb="81">
      <t>セイテイ</t>
    </rPh>
    <phoneticPr fontId="2"/>
  </si>
  <si>
    <t>1. 辞書と動画
2. パンフレットと漫画
3. 辞書とホームページ
4. パンフレットと動画</t>
    <rPh sb="3" eb="5">
      <t>ジショ</t>
    </rPh>
    <rPh sb="6" eb="8">
      <t>ドウガ</t>
    </rPh>
    <rPh sb="19" eb="21">
      <t>マンガ</t>
    </rPh>
    <rPh sb="25" eb="27">
      <t>ジショ</t>
    </rPh>
    <rPh sb="45" eb="47">
      <t>ドウガ</t>
    </rPh>
    <phoneticPr fontId="2"/>
  </si>
  <si>
    <t>1. テレビ番組に字幕を付けてほしい
2. 聴覚障害者のために番組を作ってほしい
3. 聞こえる人と同じ情報保障が欲しい
4. 障害者のための情報が欲しい</t>
    <rPh sb="6" eb="8">
      <t>b;</t>
    </rPh>
    <rPh sb="9" eb="11">
      <t>ジマク</t>
    </rPh>
    <rPh sb="12" eb="13">
      <t>ツ</t>
    </rPh>
    <rPh sb="22" eb="27">
      <t>チョウカクショ;シャ</t>
    </rPh>
    <rPh sb="31" eb="33">
      <t>b;</t>
    </rPh>
    <rPh sb="34" eb="35">
      <t>ツク</t>
    </rPh>
    <rPh sb="44" eb="45">
      <t>キ</t>
    </rPh>
    <rPh sb="48" eb="49">
      <t>r</t>
    </rPh>
    <rPh sb="50" eb="51">
      <t>オナ</t>
    </rPh>
    <rPh sb="52" eb="56">
      <t>ジョ;ホショウ</t>
    </rPh>
    <rPh sb="57" eb="58">
      <t>ホ</t>
    </rPh>
    <rPh sb="64" eb="67">
      <t>ショ;シャ</t>
    </rPh>
    <rPh sb="71" eb="73">
      <t>ジョ;</t>
    </rPh>
    <rPh sb="74" eb="75">
      <t>ホ</t>
    </rPh>
    <phoneticPr fontId="2"/>
  </si>
  <si>
    <t>1. 予算がなくてできない
2. 聴覚障害者が求める情報が分からない
3. 時間がなくてできない
4. 障害者のための情報が欲しい</t>
    <rPh sb="3" eb="5">
      <t>ヨサン</t>
    </rPh>
    <rPh sb="17" eb="22">
      <t>チョウカクショ;シャ</t>
    </rPh>
    <rPh sb="23" eb="24">
      <t>モト</t>
    </rPh>
    <rPh sb="26" eb="28">
      <t>ジョ;</t>
    </rPh>
    <rPh sb="29" eb="34">
      <t>ワs</t>
    </rPh>
    <rPh sb="38" eb="40">
      <t>jk</t>
    </rPh>
    <rPh sb="52" eb="63">
      <t>ショ;シャノタメノジョ;ガホ</t>
    </rPh>
    <phoneticPr fontId="2"/>
  </si>
  <si>
    <t>どういう見方をしていると言っていますか？</t>
    <rPh sb="4" eb="6">
      <t>ミカタ</t>
    </rPh>
    <rPh sb="12" eb="13">
      <t>イ</t>
    </rPh>
    <phoneticPr fontId="2"/>
  </si>
  <si>
    <t>1. 聴覚障害者は外国人という見方
2. 聴覚障害者も人間であるという見方
3. 人として平等ではなく聴覚障害者という見方
4. 人として聴覚障害者も平等という味方</t>
    <rPh sb="3" eb="8">
      <t>チョウカクショ;シャ</t>
    </rPh>
    <rPh sb="9" eb="12">
      <t>ガr</t>
    </rPh>
    <rPh sb="15" eb="17">
      <t>ミカタ</t>
    </rPh>
    <rPh sb="21" eb="26">
      <t>チョウカクショ;シャ</t>
    </rPh>
    <rPh sb="27" eb="29">
      <t>rゲン</t>
    </rPh>
    <rPh sb="35" eb="37">
      <t>ミカタ</t>
    </rPh>
    <rPh sb="41" eb="42">
      <t>r</t>
    </rPh>
    <rPh sb="45" eb="47">
      <t>ビョウドウ</t>
    </rPh>
    <rPh sb="51" eb="56">
      <t>チョウカクショ;シャ</t>
    </rPh>
    <rPh sb="59" eb="61">
      <t>ミカタ</t>
    </rPh>
    <rPh sb="65" eb="66">
      <t>r</t>
    </rPh>
    <rPh sb="69" eb="74">
      <t>チョウカクショ;シャ</t>
    </rPh>
    <rPh sb="75" eb="77">
      <t>ビョウドウ</t>
    </rPh>
    <rPh sb="80" eb="82">
      <t>ミカタ</t>
    </rPh>
    <phoneticPr fontId="2"/>
  </si>
  <si>
    <t>Detail</t>
    <phoneticPr fontId="2"/>
  </si>
  <si>
    <t>私の名前は山本じゅんきです。</t>
    <rPh sb="0" eb="1">
      <t>w</t>
    </rPh>
    <rPh sb="2" eb="4">
      <t>ナマエ</t>
    </rPh>
    <rPh sb="5" eb="7">
      <t>ヤマモト</t>
    </rPh>
    <phoneticPr fontId="2"/>
  </si>
  <si>
    <t>私はスーパーで働いています。</t>
    <rPh sb="0" eb="2">
      <t>ウァ</t>
    </rPh>
    <rPh sb="7" eb="8">
      <t>ハタラ</t>
    </rPh>
    <phoneticPr fontId="2"/>
  </si>
  <si>
    <t>母は金曜日に料理を習いに行きます。</t>
    <rPh sb="0" eb="1">
      <t>ハハ</t>
    </rPh>
    <rPh sb="2" eb="5">
      <t>キy</t>
    </rPh>
    <rPh sb="6" eb="8">
      <t>リョウリ</t>
    </rPh>
    <rPh sb="9" eb="10">
      <t>ナラ</t>
    </rPh>
    <rPh sb="12" eb="13">
      <t>イ</t>
    </rPh>
    <phoneticPr fontId="2"/>
  </si>
  <si>
    <t>父はパソコンが得意です。</t>
    <rPh sb="0" eb="1">
      <t>チチ</t>
    </rPh>
    <rPh sb="7" eb="9">
      <t>トクイ</t>
    </rPh>
    <phoneticPr fontId="2"/>
  </si>
  <si>
    <t>私はサークルでパソコンを教えています。</t>
    <rPh sb="0" eb="2">
      <t>ウァ</t>
    </rPh>
    <rPh sb="12" eb="13">
      <t>l;</t>
    </rPh>
    <phoneticPr fontId="2"/>
  </si>
  <si>
    <t>友達と一緒にいた映画は面白かったです。</t>
    <rPh sb="0" eb="2">
      <t>トモダチ</t>
    </rPh>
    <rPh sb="3" eb="5">
      <t>イッショ</t>
    </rPh>
    <rPh sb="8" eb="10">
      <t>エイガ</t>
    </rPh>
    <rPh sb="11" eb="13">
      <t>オモシロ</t>
    </rPh>
    <phoneticPr fontId="2"/>
  </si>
  <si>
    <t>1. 面白い
2. 楽しい
3. 悲しい
4. さみしい</t>
    <rPh sb="3" eb="5">
      <t>オモシロ</t>
    </rPh>
    <rPh sb="10" eb="11">
      <t>タノ</t>
    </rPh>
    <rPh sb="17" eb="18">
      <t>カナ</t>
    </rPh>
    <phoneticPr fontId="2"/>
  </si>
  <si>
    <t>息子は手話サークルに2時から4時まで通って頑張っています。</t>
    <rPh sb="0" eb="2">
      <t>ムスコ</t>
    </rPh>
    <rPh sb="3" eb="9">
      <t>シサ;</t>
    </rPh>
    <rPh sb="11" eb="12">
      <t>ジ</t>
    </rPh>
    <rPh sb="15" eb="16">
      <t>ジ</t>
    </rPh>
    <rPh sb="18" eb="19">
      <t>カヨ</t>
    </rPh>
    <rPh sb="21" eb="23">
      <t>ガンバ</t>
    </rPh>
    <phoneticPr fontId="2"/>
  </si>
  <si>
    <t>友達は図書館で勉強しています。</t>
    <rPh sb="0" eb="2">
      <t>トモダチ</t>
    </rPh>
    <rPh sb="3" eb="6">
      <t>トショカン</t>
    </rPh>
    <rPh sb="7" eb="9">
      <t>ベンキョウ</t>
    </rPh>
    <phoneticPr fontId="2"/>
  </si>
  <si>
    <t>東京に来週行きます。明日は大阪に行きます。</t>
    <rPh sb="0" eb="2">
      <t>tk</t>
    </rPh>
    <rPh sb="3" eb="6">
      <t>ライシュウイ</t>
    </rPh>
    <rPh sb="10" eb="12">
      <t>アシタ</t>
    </rPh>
    <rPh sb="13" eb="15">
      <t>オオサカ</t>
    </rPh>
    <rPh sb="16" eb="17">
      <t>イ</t>
    </rPh>
    <phoneticPr fontId="2"/>
  </si>
  <si>
    <t>彼女に感謝を伝えるために北海道旅行をプレゼントします。</t>
    <rPh sb="0" eb="2">
      <t>カノジョ</t>
    </rPh>
    <rPh sb="3" eb="5">
      <t>カンシャ</t>
    </rPh>
    <rPh sb="6" eb="7">
      <t>ツタ</t>
    </rPh>
    <rPh sb="12" eb="15">
      <t>ホッカイドウ</t>
    </rPh>
    <rPh sb="15" eb="17">
      <t>リョコウ</t>
    </rPh>
    <phoneticPr fontId="2"/>
  </si>
  <si>
    <t>奈良で暮らす母に介護が必要と姉から連絡があり、心配です。</t>
    <rPh sb="0" eb="2">
      <t>ナラ</t>
    </rPh>
    <rPh sb="3" eb="4">
      <t>ク</t>
    </rPh>
    <rPh sb="6" eb="7">
      <t>ハハ</t>
    </rPh>
    <rPh sb="8" eb="10">
      <t>カイゴ</t>
    </rPh>
    <rPh sb="11" eb="13">
      <t>ヒツヨウ</t>
    </rPh>
    <rPh sb="14" eb="15">
      <t>アネ</t>
    </rPh>
    <rPh sb="17" eb="19">
      <t>レンラク</t>
    </rPh>
    <rPh sb="23" eb="25">
      <t>シンパイ</t>
    </rPh>
    <phoneticPr fontId="2"/>
  </si>
  <si>
    <t>この辺りはタバコを吸っている学生が多いので、先生が厳しく巡回しています。</t>
    <rPh sb="2" eb="3">
      <t>アタ</t>
    </rPh>
    <rPh sb="9" eb="10">
      <t>ス</t>
    </rPh>
    <rPh sb="14" eb="16">
      <t>ガクセイ</t>
    </rPh>
    <rPh sb="17" eb="18">
      <t>オオ</t>
    </rPh>
    <rPh sb="22" eb="24">
      <t>センセイ</t>
    </rPh>
    <rPh sb="25" eb="26">
      <t>キビ</t>
    </rPh>
    <rPh sb="28" eb="30">
      <t>ジュンカイ</t>
    </rPh>
    <phoneticPr fontId="2"/>
  </si>
  <si>
    <t>今年の夏は電力不足が心配です。汗が少しくらいであれば扇風機で構いません。我慢します。</t>
    <rPh sb="0" eb="2">
      <t>コトシ</t>
    </rPh>
    <rPh sb="3" eb="4">
      <t>ナツ</t>
    </rPh>
    <rPh sb="5" eb="9">
      <t>デンリョクブソク</t>
    </rPh>
    <rPh sb="10" eb="12">
      <t>シンパイ</t>
    </rPh>
    <rPh sb="15" eb="16">
      <t>アセ</t>
    </rPh>
    <rPh sb="17" eb="18">
      <t>スコ</t>
    </rPh>
    <rPh sb="26" eb="29">
      <t>センプウキ</t>
    </rPh>
    <rPh sb="30" eb="31">
      <t>カマ</t>
    </rPh>
    <rPh sb="36" eb="38">
      <t>ガマン</t>
    </rPh>
    <phoneticPr fontId="2"/>
  </si>
  <si>
    <t>私は2年前に堺に引っ越して釣りを始めました。ウナギは釣れます。でも、鯛は釣れませんね。</t>
    <rPh sb="0" eb="2">
      <t>ウァ</t>
    </rPh>
    <rPh sb="3" eb="5">
      <t>ネンマエ</t>
    </rPh>
    <rPh sb="6" eb="7">
      <t>サカイ</t>
    </rPh>
    <rPh sb="8" eb="9">
      <t>ヒ</t>
    </rPh>
    <rPh sb="10" eb="11">
      <t>コ</t>
    </rPh>
    <rPh sb="13" eb="14">
      <t>ツ</t>
    </rPh>
    <rPh sb="16" eb="17">
      <t>ハジ</t>
    </rPh>
    <rPh sb="26" eb="27">
      <t>ツ</t>
    </rPh>
    <rPh sb="34" eb="35">
      <t>タイ</t>
    </rPh>
    <rPh sb="36" eb="37">
      <t>ツ</t>
    </rPh>
    <phoneticPr fontId="2"/>
  </si>
  <si>
    <t>私は保育士の仕事をして2年目になります。ベテランの主任保育士と一緒に3歳児の担当をしています。園児が泣き止まずお手上げの時、彼女に助けてもらうこともあります。仕事でストレスがたまることもありますが、園児が誰にでも優しい子に成長してほしいと願っています。</t>
    <rPh sb="0" eb="2">
      <t>ウァ</t>
    </rPh>
    <rPh sb="2" eb="5">
      <t>ホイクシ</t>
    </rPh>
    <rPh sb="6" eb="8">
      <t>シゴト</t>
    </rPh>
    <rPh sb="12" eb="14">
      <t>ネンメ</t>
    </rPh>
    <rPh sb="25" eb="27">
      <t>シュニン</t>
    </rPh>
    <rPh sb="27" eb="30">
      <t>ホイクシ</t>
    </rPh>
    <rPh sb="31" eb="33">
      <t>イッショ</t>
    </rPh>
    <rPh sb="35" eb="37">
      <t>サイジ</t>
    </rPh>
    <rPh sb="38" eb="40">
      <t>タントウ</t>
    </rPh>
    <rPh sb="47" eb="49">
      <t>エンジ</t>
    </rPh>
    <rPh sb="62" eb="64">
      <t>カノジョ</t>
    </rPh>
    <rPh sb="65" eb="66">
      <t>タス</t>
    </rPh>
    <rPh sb="79" eb="81">
      <t>シゴト</t>
    </rPh>
    <rPh sb="99" eb="101">
      <t>エンジ</t>
    </rPh>
    <rPh sb="102" eb="103">
      <t>ダレ</t>
    </rPh>
    <rPh sb="106" eb="107">
      <t>ヤサ</t>
    </rPh>
    <rPh sb="109" eb="110">
      <t>コ</t>
    </rPh>
    <rPh sb="111" eb="113">
      <t>セイチョウ</t>
    </rPh>
    <rPh sb="119" eb="120">
      <t>ネガ</t>
    </rPh>
    <phoneticPr fontId="2"/>
  </si>
  <si>
    <t>私が通う手話サークルは会員31人です。会員の年齢層は16歳から65歳と幅広く、毎週火曜日にスポーツ会館で活動しています。今年は思い切って役員を希望して会計を担当しています。会長を支え、組織を強くするために学習方法の見直しなどを努力したいです。</t>
    <rPh sb="0" eb="1">
      <t>w</t>
    </rPh>
    <rPh sb="2" eb="3">
      <t>カヨ</t>
    </rPh>
    <rPh sb="4" eb="10">
      <t>シサ;</t>
    </rPh>
    <rPh sb="11" eb="13">
      <t>カイイン</t>
    </rPh>
    <rPh sb="15" eb="16">
      <t>r</t>
    </rPh>
    <rPh sb="19" eb="21">
      <t>カイイン</t>
    </rPh>
    <rPh sb="22" eb="25">
      <t>ネンレイソウ</t>
    </rPh>
    <rPh sb="28" eb="29">
      <t>サイ</t>
    </rPh>
    <rPh sb="33" eb="34">
      <t>サイ</t>
    </rPh>
    <rPh sb="35" eb="37">
      <t>ハバヒロ</t>
    </rPh>
    <rPh sb="39" eb="44">
      <t>マイシュウカy</t>
    </rPh>
    <rPh sb="49" eb="51">
      <t>カイカン</t>
    </rPh>
    <rPh sb="52" eb="54">
      <t>カツドウ</t>
    </rPh>
    <rPh sb="60" eb="62">
      <t>コトシ</t>
    </rPh>
    <rPh sb="63" eb="64">
      <t>オモ</t>
    </rPh>
    <rPh sb="65" eb="66">
      <t>キ</t>
    </rPh>
    <rPh sb="68" eb="70">
      <t>ヤクイン</t>
    </rPh>
    <rPh sb="71" eb="73">
      <t>キボウ</t>
    </rPh>
    <rPh sb="75" eb="77">
      <t>カイケイ</t>
    </rPh>
    <rPh sb="78" eb="80">
      <t>タントウ</t>
    </rPh>
    <rPh sb="86" eb="88">
      <t>カイチョウ</t>
    </rPh>
    <rPh sb="89" eb="90">
      <t>ササ</t>
    </rPh>
    <rPh sb="92" eb="94">
      <t>ソシキ</t>
    </rPh>
    <rPh sb="95" eb="96">
      <t>ツヨ</t>
    </rPh>
    <rPh sb="102" eb="106">
      <t>ガクシュウホウホウ</t>
    </rPh>
    <rPh sb="107" eb="109">
      <t>ミナオ</t>
    </rPh>
    <rPh sb="113" eb="115">
      <t>ドリョク</t>
    </rPh>
    <phoneticPr fontId="2"/>
  </si>
  <si>
    <t>私は総務課で働いていて、ダイエットブームがきていると聞きました。私はこれはいいなと思い、ダイエットを始めました。しかし、短期間のダイエットで空腹になり、仕事中に倒れてしまいました。そんな私にも理解のある彼君がいます。</t>
    <rPh sb="0" eb="2">
      <t>ウァ</t>
    </rPh>
    <rPh sb="2" eb="5">
      <t>ソウムカ</t>
    </rPh>
    <rPh sb="6" eb="7">
      <t>ハタラ</t>
    </rPh>
    <rPh sb="26" eb="27">
      <t>キ</t>
    </rPh>
    <rPh sb="32" eb="34">
      <t>ウァ</t>
    </rPh>
    <rPh sb="41" eb="42">
      <t>オモ</t>
    </rPh>
    <rPh sb="50" eb="51">
      <t>ハジ</t>
    </rPh>
    <rPh sb="60" eb="63">
      <t>タンキカン</t>
    </rPh>
    <rPh sb="70" eb="72">
      <t>クウフク</t>
    </rPh>
    <rPh sb="76" eb="79">
      <t>シゴトチュウ</t>
    </rPh>
    <rPh sb="80" eb="81">
      <t>タオ</t>
    </rPh>
    <rPh sb="93" eb="94">
      <t>w</t>
    </rPh>
    <rPh sb="96" eb="98">
      <t>リカイ</t>
    </rPh>
    <rPh sb="101" eb="103">
      <t>カレクン</t>
    </rPh>
    <phoneticPr fontId="2"/>
  </si>
  <si>
    <t>国会をテレビで見て、総理大臣をはじめ、各大臣が答弁するのを見て、すごいな、と感心していたら実際は違いました。答弁は官僚が作っていてそれを読んでいる、と聞いてがっかりしました。国民の税金で給与を得ている国会議員には真剣に景気回復、子ども政策の充実について考えて議論してほしいし、私は1日も早い手話言語法の実現を祈っています。</t>
    <rPh sb="0" eb="2">
      <t>コッカイ</t>
    </rPh>
    <rPh sb="45" eb="47">
      <t>js</t>
    </rPh>
    <rPh sb="48" eb="49">
      <t>チガ</t>
    </rPh>
    <rPh sb="54" eb="56">
      <t>トウベン</t>
    </rPh>
    <rPh sb="57" eb="59">
      <t>カンリョウ</t>
    </rPh>
    <rPh sb="93" eb="95">
      <t>キュウヨ</t>
    </rPh>
    <rPh sb="141" eb="142">
      <t>h</t>
    </rPh>
    <phoneticPr fontId="2"/>
  </si>
  <si>
    <t>最近は健康や病気を話題にすることが増えました。介護保険などの社会保障の実態、課題についても注目しています。ところで身体が衰えてどんどんとできなくなることが増えていくと思うと不安ですね。しかし、できることがまだまだあると考える心構えが大切だと教わりました。毎日を楽しく生きることを生きがいにして過ごしたいと思います。</t>
    <rPh sb="0" eb="2">
      <t>サイキン</t>
    </rPh>
    <rPh sb="3" eb="5">
      <t>ケンコウ</t>
    </rPh>
    <rPh sb="6" eb="8">
      <t>ビョウキ</t>
    </rPh>
    <rPh sb="9" eb="11">
      <t>ワダイ</t>
    </rPh>
    <rPh sb="17" eb="18">
      <t>フ</t>
    </rPh>
    <rPh sb="23" eb="29">
      <t>カイゴホケンンd</t>
    </rPh>
    <rPh sb="30" eb="34">
      <t>シャカイホショウ</t>
    </rPh>
    <rPh sb="35" eb="37">
      <t>ジッタイ</t>
    </rPh>
    <rPh sb="38" eb="40">
      <t>カダイ</t>
    </rPh>
    <rPh sb="45" eb="47">
      <t>チュウモク</t>
    </rPh>
    <rPh sb="57" eb="59">
      <t>カラダ</t>
    </rPh>
    <rPh sb="60" eb="61">
      <t>オトロ</t>
    </rPh>
    <rPh sb="77" eb="78">
      <t>フ</t>
    </rPh>
    <rPh sb="83" eb="84">
      <t>オモ</t>
    </rPh>
    <rPh sb="86" eb="88">
      <t>フアン</t>
    </rPh>
    <rPh sb="109" eb="110">
      <t>カンガ</t>
    </rPh>
    <rPh sb="112" eb="114">
      <t>ココロガマ</t>
    </rPh>
    <rPh sb="116" eb="118">
      <t>タイセツ</t>
    </rPh>
    <rPh sb="120" eb="121">
      <t>オソ</t>
    </rPh>
    <rPh sb="127" eb="129">
      <t>マイh</t>
    </rPh>
    <rPh sb="130" eb="157">
      <t>タノシクイキルコトヲイキガイニシテスゴシタイトオモイm;</t>
    </rPh>
    <phoneticPr fontId="2"/>
  </si>
  <si>
    <t>2025年11月にデフリンピック第25回夏季大会が東京にて開催されることになりました。1924年にフランスのパリで第1回世界ろう者競技大会が行われてから100年経過して開催される記念の大会となります。デフリンピックという名称は2001年から国際オリンピック委員会の承認を得て使われ始めました。オリンピック、パラリンピックと同じように4年ごとに開催されます。まだまだデフリンピックを知っている人は少ないので、大会をきっかけにろう者や手話の理解が普及し、定着するといいですね。</t>
    <rPh sb="4" eb="5">
      <t>ネン</t>
    </rPh>
    <rPh sb="7" eb="8">
      <t>ガツ</t>
    </rPh>
    <rPh sb="16" eb="17">
      <t>ダイ</t>
    </rPh>
    <rPh sb="19" eb="20">
      <t>k</t>
    </rPh>
    <rPh sb="20" eb="24">
      <t>カキタイカイ</t>
    </rPh>
    <rPh sb="25" eb="27">
      <t>tk</t>
    </rPh>
    <rPh sb="29" eb="31">
      <t>カイサイ</t>
    </rPh>
    <rPh sb="47" eb="48">
      <t>ネン</t>
    </rPh>
    <rPh sb="57" eb="58">
      <t>ダイ</t>
    </rPh>
    <rPh sb="59" eb="60">
      <t>k</t>
    </rPh>
    <rPh sb="60" eb="62">
      <t>セカイ</t>
    </rPh>
    <rPh sb="64" eb="69">
      <t>シャキョウギタイカイ</t>
    </rPh>
    <rPh sb="70" eb="71">
      <t>g;</t>
    </rPh>
    <rPh sb="79" eb="82">
      <t>ネンケイカ</t>
    </rPh>
    <rPh sb="110" eb="112">
      <t>メイショウ</t>
    </rPh>
    <rPh sb="117" eb="118">
      <t>ネン</t>
    </rPh>
    <rPh sb="120" eb="122">
      <t>コクサイ</t>
    </rPh>
    <rPh sb="128" eb="131">
      <t>イインカイ</t>
    </rPh>
    <rPh sb="132" eb="134">
      <t>ショウニン</t>
    </rPh>
    <rPh sb="135" eb="136">
      <t>エ</t>
    </rPh>
    <rPh sb="137" eb="138">
      <t>ツカ</t>
    </rPh>
    <rPh sb="140" eb="141">
      <t>ハジ</t>
    </rPh>
    <rPh sb="161" eb="162">
      <t>オナ</t>
    </rPh>
    <rPh sb="167" eb="168">
      <t>ネン</t>
    </rPh>
    <rPh sb="171" eb="173">
      <t>カイサイ</t>
    </rPh>
    <rPh sb="190" eb="191">
      <t>シ</t>
    </rPh>
    <rPh sb="195" eb="196">
      <t>r</t>
    </rPh>
    <rPh sb="197" eb="198">
      <t>スク</t>
    </rPh>
    <rPh sb="203" eb="205">
      <t>タイカイ</t>
    </rPh>
    <rPh sb="213" eb="214">
      <t>シャ</t>
    </rPh>
    <rPh sb="215" eb="217">
      <t>シ;</t>
    </rPh>
    <rPh sb="218" eb="220">
      <t>リカイ</t>
    </rPh>
    <rPh sb="221" eb="223">
      <t>フキュウ</t>
    </rPh>
    <rPh sb="225" eb="227">
      <t>テイチャク</t>
    </rPh>
    <phoneticPr fontId="2"/>
  </si>
  <si>
    <t>1. 第15回
2. 第25回
3. 第50回
4. 第100回</t>
    <rPh sb="3" eb="4">
      <t>ダイ</t>
    </rPh>
    <rPh sb="6" eb="7">
      <t>k</t>
    </rPh>
    <rPh sb="11" eb="12">
      <t>ダイ</t>
    </rPh>
    <rPh sb="14" eb="15">
      <t>k</t>
    </rPh>
    <rPh sb="19" eb="20">
      <t>ダイ</t>
    </rPh>
    <rPh sb="22" eb="23">
      <t>k</t>
    </rPh>
    <rPh sb="27" eb="28">
      <t>ダイ</t>
    </rPh>
    <rPh sb="31" eb="32">
      <t>k</t>
    </rPh>
    <phoneticPr fontId="2"/>
  </si>
  <si>
    <t>国に手話言語法の制定を求める運動の中で手話言語条例を施行する自治体が増えています。ろう者と手話についての理解を広めるためのパンフレットが配布され、動画も作られています。以前仕事で言った場所でホテルが分からず、案内板を見ていたら突然話しかけられたことがあります。聞こえません、と身振りで答えたらびっくりしたことに手話で、あ、すみません。何かお困りですか？と話されました。えっ、手話分かるの？ホテルが分からないんです。あ、分かりますよ、ご案内しますね。といった具合でした。このように自然に手話で会話できる人が増えてほしいですね。</t>
    <rPh sb="0" eb="1">
      <t>クニ</t>
    </rPh>
    <rPh sb="2" eb="4">
      <t>シ;</t>
    </rPh>
    <rPh sb="4" eb="6">
      <t>ゲンゴ</t>
    </rPh>
    <rPh sb="6" eb="7">
      <t>ホウ</t>
    </rPh>
    <rPh sb="8" eb="10">
      <t>セイテイ</t>
    </rPh>
    <rPh sb="11" eb="12">
      <t>モト</t>
    </rPh>
    <rPh sb="14" eb="16">
      <t>ウンドウ</t>
    </rPh>
    <rPh sb="17" eb="18">
      <t>ナカ</t>
    </rPh>
    <rPh sb="19" eb="25">
      <t>シ;ゲンゴジョウレイ</t>
    </rPh>
    <rPh sb="26" eb="28">
      <t>シコウ</t>
    </rPh>
    <rPh sb="30" eb="33">
      <t>ジチタイ</t>
    </rPh>
    <rPh sb="34" eb="35">
      <t>フ</t>
    </rPh>
    <rPh sb="43" eb="44">
      <t>シャ</t>
    </rPh>
    <rPh sb="45" eb="47">
      <t>シ;</t>
    </rPh>
    <rPh sb="52" eb="54">
      <t>リカイ</t>
    </rPh>
    <rPh sb="55" eb="56">
      <t>ヒロ</t>
    </rPh>
    <rPh sb="68" eb="70">
      <t>ハイフ</t>
    </rPh>
    <rPh sb="73" eb="75">
      <t>ドウガ</t>
    </rPh>
    <rPh sb="76" eb="77">
      <t>ツク</t>
    </rPh>
    <rPh sb="84" eb="88">
      <t>イゼンシゴト</t>
    </rPh>
    <rPh sb="89" eb="90">
      <t>イ</t>
    </rPh>
    <rPh sb="92" eb="94">
      <t>バショ</t>
    </rPh>
    <rPh sb="99" eb="100">
      <t>ワ</t>
    </rPh>
    <rPh sb="104" eb="107">
      <t>アンナイバン</t>
    </rPh>
    <rPh sb="108" eb="109">
      <t>ミ</t>
    </rPh>
    <rPh sb="113" eb="116">
      <t>トツゼンハナ</t>
    </rPh>
    <rPh sb="130" eb="131">
      <t>キ</t>
    </rPh>
    <rPh sb="138" eb="140">
      <t>ミブ</t>
    </rPh>
    <rPh sb="142" eb="143">
      <t>コタ</t>
    </rPh>
    <rPh sb="155" eb="157">
      <t>シ;</t>
    </rPh>
    <rPh sb="167" eb="168">
      <t>ナニ</t>
    </rPh>
    <rPh sb="170" eb="171">
      <t>コマ</t>
    </rPh>
    <rPh sb="177" eb="178">
      <t>ハナ</t>
    </rPh>
    <rPh sb="187" eb="190">
      <t>シ;ワ</t>
    </rPh>
    <rPh sb="198" eb="203">
      <t>ワs</t>
    </rPh>
    <rPh sb="209" eb="210">
      <t>ワ</t>
    </rPh>
    <rPh sb="217" eb="219">
      <t>アンナイ</t>
    </rPh>
    <rPh sb="228" eb="230">
      <t>グアイ</t>
    </rPh>
    <rPh sb="239" eb="241">
      <t>シゼン</t>
    </rPh>
    <rPh sb="242" eb="262">
      <t>シ;デカイワデキルrガフエテホシイdン</t>
    </rPh>
    <phoneticPr fontId="2"/>
  </si>
  <si>
    <t>行政との協議で聞こえる人と同じ情報が保証されるようにしてほしいと意見を出しました。すると「聴覚障害者が求める情報がどんなものになるのかわからなくて」と言われました。聴覚障害者だからこのような情報が必要ということではなく、聞こえる人が得ている情報と同じ情報を聞こえなくても伝わるようにしてほしいということがなかなか伝わらなかったです。人として平等…ではなく聴者障害者という見方にこだわっていると感じました。</t>
    <rPh sb="0" eb="20">
      <t>ギョウセイトノキョウギデキコエルrトオナジジョ;ガホショウ</t>
    </rPh>
    <rPh sb="32" eb="34">
      <t>イケン</t>
    </rPh>
    <rPh sb="35" eb="36">
      <t>ダ</t>
    </rPh>
    <rPh sb="44" eb="56">
      <t>@チョウカクショ;シャガモトメルジョ;</t>
    </rPh>
    <rPh sb="75" eb="76">
      <t>イ</t>
    </rPh>
    <rPh sb="82" eb="87">
      <t>チョウカクショ;シャ</t>
    </rPh>
    <rPh sb="95" eb="97">
      <t>ジョ;</t>
    </rPh>
    <rPh sb="114" eb="115">
      <t>r</t>
    </rPh>
    <rPh sb="116" eb="117">
      <t>エ</t>
    </rPh>
    <rPh sb="120" eb="122">
      <t>ジョ;</t>
    </rPh>
    <rPh sb="123" eb="124">
      <t>オナ</t>
    </rPh>
    <rPh sb="125" eb="127">
      <t>ジョ;</t>
    </rPh>
    <rPh sb="128" eb="129">
      <t>キ</t>
    </rPh>
    <rPh sb="135" eb="136">
      <t>ツタ</t>
    </rPh>
    <rPh sb="156" eb="157">
      <t>ツタ</t>
    </rPh>
    <rPh sb="166" eb="170">
      <t>rts</t>
    </rPh>
    <rPh sb="170" eb="182">
      <t>ビョウドウtデハナクチョ;ショ;シャ</t>
    </rPh>
    <rPh sb="185" eb="187">
      <t>ミカタ</t>
    </rPh>
    <rPh sb="196" eb="197">
      <t>カン</t>
    </rPh>
    <phoneticPr fontId="2"/>
  </si>
  <si>
    <t>1. だるい
2. めまい
3. ダイエット
4. 脳梗塞</t>
    <rPh sb="26" eb="29">
      <t>ノウコウソク</t>
    </rPh>
    <phoneticPr fontId="2"/>
  </si>
  <si>
    <t>IlwOm_qvtEQ</t>
    <phoneticPr fontId="2"/>
  </si>
  <si>
    <t>wYxrp-R5w3A</t>
    <phoneticPr fontId="2"/>
  </si>
  <si>
    <t>gSZxvmKkok0</t>
    <phoneticPr fontId="2"/>
  </si>
  <si>
    <t>AdOrXvryCpc</t>
    <phoneticPr fontId="2"/>
  </si>
  <si>
    <t>ebpC4N2AcDE</t>
    <phoneticPr fontId="2"/>
  </si>
  <si>
    <t>CjpW5EEu-Io</t>
    <phoneticPr fontId="2"/>
  </si>
  <si>
    <t>snTuz3wNw4g</t>
    <phoneticPr fontId="2"/>
  </si>
  <si>
    <t>qNuTv2tLFGM</t>
    <phoneticPr fontId="2"/>
  </si>
  <si>
    <t>x6McQsLFuCo</t>
    <phoneticPr fontId="2"/>
  </si>
  <si>
    <t>tJX4D6lJT7k</t>
    <phoneticPr fontId="2"/>
  </si>
  <si>
    <t>mnRK3hFD_L0</t>
    <phoneticPr fontId="2"/>
  </si>
  <si>
    <t>GxEVsAMPrVY</t>
    <phoneticPr fontId="2"/>
  </si>
  <si>
    <t>sMQ9NqAZFLU</t>
    <phoneticPr fontId="2"/>
  </si>
  <si>
    <t>477CnNM-EiE</t>
    <phoneticPr fontId="2"/>
  </si>
  <si>
    <t>vfL5HXL5508</t>
    <phoneticPr fontId="2"/>
  </si>
  <si>
    <t>GTM09qXrFTI</t>
    <phoneticPr fontId="2"/>
  </si>
  <si>
    <t>9A1JP9Iu4zc</t>
    <phoneticPr fontId="2"/>
  </si>
  <si>
    <t>As818Epf1b8</t>
    <phoneticPr fontId="2"/>
  </si>
  <si>
    <t>JZaGwppaTRI</t>
    <phoneticPr fontId="2"/>
  </si>
  <si>
    <t>sSJY9YG4HSg</t>
    <phoneticPr fontId="2"/>
  </si>
  <si>
    <t>9wrOpKhvT_0</t>
    <phoneticPr fontId="2"/>
  </si>
  <si>
    <t>0CddzxeGNYI</t>
    <phoneticPr fontId="2"/>
  </si>
  <si>
    <t>qZH_LxzGSQY</t>
    <phoneticPr fontId="2"/>
  </si>
  <si>
    <t>VxskHwOgB0k</t>
    <phoneticPr fontId="2"/>
  </si>
  <si>
    <t>dHcR3H6UMXo</t>
    <phoneticPr fontId="2"/>
  </si>
  <si>
    <t>Run-XGC8x5c</t>
    <phoneticPr fontId="2"/>
  </si>
  <si>
    <t>mLYU1-WaoXc</t>
    <phoneticPr fontId="2"/>
  </si>
  <si>
    <t>OUbNWhz1D1Q</t>
    <phoneticPr fontId="2"/>
  </si>
  <si>
    <t>WMI7_BmdK-U</t>
    <phoneticPr fontId="2"/>
  </si>
  <si>
    <t>Fma10uV1m50</t>
    <phoneticPr fontId="2"/>
  </si>
  <si>
    <t>CL-c-Rh02pM</t>
    <phoneticPr fontId="2"/>
  </si>
  <si>
    <t>N6P6Bc6-ZI4</t>
    <phoneticPr fontId="2"/>
  </si>
  <si>
    <t>RJQg47UmNlI</t>
    <phoneticPr fontId="2"/>
  </si>
  <si>
    <t>KsQ0oWRlyw4</t>
    <phoneticPr fontId="2"/>
  </si>
  <si>
    <t>Lu5draDEE70</t>
    <phoneticPr fontId="2"/>
  </si>
  <si>
    <t>r3rQN_MppxI</t>
    <phoneticPr fontId="2"/>
  </si>
  <si>
    <t>hHAcgYmYudw</t>
    <phoneticPr fontId="2"/>
  </si>
  <si>
    <t>新田義貞が刀を池に投げ入れる様子とも、新しいものが輝いている様子ともいわれている。</t>
    <rPh sb="0" eb="4">
      <t>ニッタヨシサダ</t>
    </rPh>
    <rPh sb="5" eb="6">
      <t>カタナ</t>
    </rPh>
    <rPh sb="7" eb="8">
      <t>イケ</t>
    </rPh>
    <rPh sb="9" eb="10">
      <t>ナ</t>
    </rPh>
    <rPh sb="11" eb="12">
      <t>イ</t>
    </rPh>
    <rPh sb="14" eb="16">
      <t>ヨウス</t>
    </rPh>
    <rPh sb="19" eb="20">
      <t>アタラ</t>
    </rPh>
    <rPh sb="25" eb="26">
      <t>カガヤ</t>
    </rPh>
    <rPh sb="30" eb="32">
      <t>ヨウス</t>
    </rPh>
    <phoneticPr fontId="2"/>
  </si>
  <si>
    <t>鼻が伸びている得意げな様子。</t>
    <rPh sb="0" eb="1">
      <t>ハナ</t>
    </rPh>
    <rPh sb="2" eb="3">
      <t>ノ</t>
    </rPh>
    <rPh sb="7" eb="9">
      <t>トクイ</t>
    </rPh>
    <rPh sb="11" eb="13">
      <t>ヨウス</t>
    </rPh>
    <phoneticPr fontId="2"/>
  </si>
  <si>
    <t>もともとは「お金を使う」に限定された手話だったとも…。</t>
    <rPh sb="7" eb="8">
      <t>カネ</t>
    </rPh>
    <rPh sb="9" eb="10">
      <t>ツカ</t>
    </rPh>
    <rPh sb="13" eb="15">
      <t>ゲンテイ</t>
    </rPh>
    <rPh sb="18" eb="20">
      <t>シ;</t>
    </rPh>
    <phoneticPr fontId="2"/>
  </si>
  <si>
    <t>8の手話は難しい。</t>
    <rPh sb="2" eb="4">
      <t>シ;</t>
    </rPh>
    <rPh sb="5" eb="6">
      <t>ムズカ</t>
    </rPh>
    <phoneticPr fontId="2"/>
  </si>
  <si>
    <t>行事の「行」の字をかたどった表現。よくこんな動き考えたな。</t>
    <rPh sb="0" eb="2">
      <t>ギョウジ</t>
    </rPh>
    <rPh sb="4" eb="5">
      <t>ギョウ</t>
    </rPh>
    <rPh sb="7" eb="8">
      <t>ジ</t>
    </rPh>
    <rPh sb="14" eb="16">
      <t>ヒ;</t>
    </rPh>
    <rPh sb="22" eb="23">
      <t>ウゴ</t>
    </rPh>
    <rPh sb="24" eb="25">
      <t>カンガ</t>
    </rPh>
    <phoneticPr fontId="2"/>
  </si>
  <si>
    <t>「香り」＋「川」。</t>
    <rPh sb="1" eb="2">
      <t>カオ</t>
    </rPh>
    <rPh sb="6" eb="7">
      <t>カワ</t>
    </rPh>
    <phoneticPr fontId="2"/>
  </si>
  <si>
    <t>亀の頭と甲羅を表現できる。「さん」をつけると兵庫医療大学手話サークルの名称でもある。</t>
    <rPh sb="0" eb="1">
      <t>カメ</t>
    </rPh>
    <rPh sb="2" eb="3">
      <t>アタマ</t>
    </rPh>
    <rPh sb="4" eb="6">
      <t>コウラ</t>
    </rPh>
    <rPh sb="7" eb="9">
      <t>ヒ;</t>
    </rPh>
    <rPh sb="22" eb="28">
      <t>ヒョウゴイリョウダイガク</t>
    </rPh>
    <rPh sb="28" eb="34">
      <t>シサ;</t>
    </rPh>
    <rPh sb="35" eb="37">
      <t>メイショウ</t>
    </rPh>
    <phoneticPr fontId="2"/>
  </si>
  <si>
    <t>ちなみに「1か月前」という表現は定義上は存在しないらしい。</t>
    <rPh sb="7" eb="8">
      <t>ゲツ</t>
    </rPh>
    <rPh sb="8" eb="9">
      <t>マエ</t>
    </rPh>
    <rPh sb="13" eb="15">
      <t>ヒ;</t>
    </rPh>
    <rPh sb="16" eb="19">
      <t>テイギジョウ</t>
    </rPh>
    <rPh sb="20" eb="22">
      <t>ソンザイ</t>
    </rPh>
    <phoneticPr fontId="2"/>
  </si>
  <si>
    <t>TT4-YspMUe0</t>
    <phoneticPr fontId="2"/>
  </si>
  <si>
    <t>uK1TB9-6Ov4</t>
    <phoneticPr fontId="2"/>
  </si>
  <si>
    <t>MIo-ERzh2x4</t>
    <phoneticPr fontId="2"/>
  </si>
  <si>
    <t>C_tlA6whLOA</t>
    <phoneticPr fontId="2"/>
  </si>
  <si>
    <t>qJKt8rfMAIs</t>
    <phoneticPr fontId="2"/>
  </si>
  <si>
    <t>d9ZdFhgDs1M</t>
    <phoneticPr fontId="2"/>
  </si>
  <si>
    <t>TC46YlLyiHM</t>
    <phoneticPr fontId="2"/>
  </si>
  <si>
    <t>WC2rpI75jpw</t>
    <phoneticPr fontId="2"/>
  </si>
  <si>
    <t>cwhIIiWeTUE</t>
    <phoneticPr fontId="2"/>
  </si>
  <si>
    <t>私は旅が大好きです。私の旅の方法は図書館に行って本を読んで旅をイメージします。例えば、江戸時代の城下町に行って団子を食べたり、イタリアに行って教会でお祈りしました。宇宙にもいけます。こんな旅もいいですよね。明日は、フィンランドへ旅したいと思っています。</t>
    <rPh sb="0" eb="2">
      <t>ウァ</t>
    </rPh>
    <rPh sb="2" eb="3">
      <t>タビ</t>
    </rPh>
    <rPh sb="4" eb="7">
      <t>ff</t>
    </rPh>
    <rPh sb="10" eb="16">
      <t>wノタビノホウホウ</t>
    </rPh>
    <rPh sb="17" eb="20">
      <t>トショカン</t>
    </rPh>
    <rPh sb="21" eb="22">
      <t>イ</t>
    </rPh>
    <rPh sb="24" eb="39">
      <t>ホンヲヨンデタビヲイメ;シm;</t>
    </rPh>
    <rPh sb="39" eb="40">
      <t>タト</t>
    </rPh>
    <rPh sb="43" eb="47">
      <t>エドジダイ</t>
    </rPh>
    <rPh sb="48" eb="51">
      <t>ジョウカマチ</t>
    </rPh>
    <rPh sb="52" eb="53">
      <t>イ</t>
    </rPh>
    <rPh sb="55" eb="57">
      <t>ダンゴ</t>
    </rPh>
    <rPh sb="58" eb="59">
      <t>タ</t>
    </rPh>
    <rPh sb="68" eb="69">
      <t>イ</t>
    </rPh>
    <rPh sb="71" eb="73">
      <t>キョウカイ</t>
    </rPh>
    <rPh sb="75" eb="76">
      <t>イノ</t>
    </rPh>
    <rPh sb="82" eb="84">
      <t>ウチュウ</t>
    </rPh>
    <rPh sb="94" eb="95">
      <t>タビ</t>
    </rPh>
    <rPh sb="103" eb="105">
      <t>アシタ</t>
    </rPh>
    <rPh sb="114" eb="115">
      <t>タビ</t>
    </rPh>
    <rPh sb="119" eb="120">
      <t>オモ</t>
    </rPh>
    <phoneticPr fontId="2"/>
  </si>
  <si>
    <t>江戸時代、宇宙のほかに言った場所はどこですか？</t>
    <rPh sb="0" eb="4">
      <t>エドジダイ</t>
    </rPh>
    <rPh sb="5" eb="7">
      <t>ウチュウ</t>
    </rPh>
    <rPh sb="11" eb="12">
      <t>イ</t>
    </rPh>
    <rPh sb="14" eb="16">
      <t>バショ</t>
    </rPh>
    <phoneticPr fontId="2"/>
  </si>
  <si>
    <t>1. イギリス
2. イタリア
3. 研究所
4. 地下世界</t>
    <rPh sb="19" eb="22">
      <t>ケンキュウジョ</t>
    </rPh>
    <rPh sb="26" eb="28">
      <t>チカ</t>
    </rPh>
    <rPh sb="28" eb="30">
      <t>セカイ</t>
    </rPh>
    <phoneticPr fontId="2"/>
  </si>
  <si>
    <t>1. 手話言語条例を施行する
2. 手話通訳者を設置する
3. 記者会見に手話通訳を付ける
4. 手話祭りを開催する</t>
    <rPh sb="3" eb="9">
      <t>シ;ゲンゴジョウレイ</t>
    </rPh>
    <rPh sb="10" eb="12">
      <t>セコウ</t>
    </rPh>
    <rPh sb="18" eb="23">
      <t>シ;ツウヤクシャ</t>
    </rPh>
    <rPh sb="24" eb="26">
      <t>セッチ</t>
    </rPh>
    <rPh sb="32" eb="34">
      <t>キシャ</t>
    </rPh>
    <rPh sb="34" eb="36">
      <t>カイケン</t>
    </rPh>
    <rPh sb="37" eb="41">
      <t>シ;ツウヤク</t>
    </rPh>
    <rPh sb="42" eb="43">
      <t>ツ</t>
    </rPh>
    <rPh sb="49" eb="52">
      <t>シ;マツ</t>
    </rPh>
    <rPh sb="54" eb="56">
      <t>カイサイ</t>
    </rPh>
    <phoneticPr fontId="2"/>
  </si>
  <si>
    <t>今日は息子の文化祭を見に行きました。手話で踊っていた驚きました。</t>
    <rPh sb="0" eb="2">
      <t>ky</t>
    </rPh>
    <rPh sb="3" eb="5">
      <t>ムスコ</t>
    </rPh>
    <rPh sb="6" eb="9">
      <t>ブンカサイ</t>
    </rPh>
    <rPh sb="10" eb="11">
      <t>ミ</t>
    </rPh>
    <rPh sb="12" eb="13">
      <t>イ</t>
    </rPh>
    <rPh sb="18" eb="20">
      <t>シ;</t>
    </rPh>
    <rPh sb="21" eb="22">
      <t>オド</t>
    </rPh>
    <rPh sb="26" eb="27">
      <t>オドロ</t>
    </rPh>
    <phoneticPr fontId="2"/>
  </si>
  <si>
    <t>椅子に座る様子で【出席】する。</t>
    <rPh sb="0" eb="2">
      <t>イス</t>
    </rPh>
    <rPh sb="3" eb="4">
      <t>スワ</t>
    </rPh>
    <rPh sb="5" eb="7">
      <t>ヨウス</t>
    </rPh>
    <rPh sb="9" eb="11">
      <t>シュッセキ</t>
    </rPh>
    <phoneticPr fontId="2"/>
  </si>
  <si>
    <t>自分を親指に見立てて支援されるようなイメージ。向きで意味が変わる。</t>
    <rPh sb="0" eb="3">
      <t>ジフォ</t>
    </rPh>
    <rPh sb="3" eb="5">
      <t>オヤユビ</t>
    </rPh>
    <rPh sb="6" eb="8">
      <t>ミタ</t>
    </rPh>
    <rPh sb="10" eb="12">
      <t>シエン</t>
    </rPh>
    <rPh sb="23" eb="24">
      <t>ム</t>
    </rPh>
    <rPh sb="26" eb="28">
      <t>イミ</t>
    </rPh>
    <rPh sb="29" eb="30">
      <t>カ</t>
    </rPh>
    <phoneticPr fontId="2"/>
  </si>
  <si>
    <t>24時間営業のことを表してコンビニ。最近は24時間営業ではないコンビニも現れている。</t>
    <rPh sb="2" eb="4">
      <t>jk</t>
    </rPh>
    <rPh sb="4" eb="6">
      <t>エイギョウ</t>
    </rPh>
    <rPh sb="10" eb="11">
      <t>アラワ</t>
    </rPh>
    <rPh sb="18" eb="20">
      <t>サイキン</t>
    </rPh>
    <rPh sb="23" eb="25">
      <t>jk</t>
    </rPh>
    <rPh sb="25" eb="27">
      <t>エイギョウ</t>
    </rPh>
    <rPh sb="36" eb="37">
      <t>アラワ</t>
    </rPh>
    <phoneticPr fontId="2"/>
  </si>
  <si>
    <t>胸をかきむしる様子。両手で表現してもよい。</t>
    <rPh sb="0" eb="1">
      <t>ムネ</t>
    </rPh>
    <rPh sb="7" eb="9">
      <t>ヨウス</t>
    </rPh>
    <rPh sb="10" eb="12">
      <t>リョウテ</t>
    </rPh>
    <rPh sb="13" eb="15">
      <t>ヒ;</t>
    </rPh>
    <phoneticPr fontId="2"/>
  </si>
  <si>
    <t>この手話だけは知っている人が多い。</t>
    <rPh sb="2" eb="4">
      <t>シ;</t>
    </rPh>
    <rPh sb="7" eb="8">
      <t>シ</t>
    </rPh>
    <rPh sb="12" eb="13">
      <t>r</t>
    </rPh>
    <rPh sb="14" eb="15">
      <t>オオ</t>
    </rPh>
    <phoneticPr fontId="2"/>
  </si>
  <si>
    <t>【会】＋【長】。</t>
    <rPh sb="1" eb="2">
      <t>カイ</t>
    </rPh>
    <rPh sb="5" eb="6">
      <t>オサ</t>
    </rPh>
    <phoneticPr fontId="2"/>
  </si>
  <si>
    <t>1. すみませんと言って立ち去った
2. すみませんと言って筆談してくれた
3. すみませんと言って手話を使ってくれた
4. すみませんと言って音声認識アプリを使ってくれた</t>
    <rPh sb="9" eb="10">
      <t>イ</t>
    </rPh>
    <rPh sb="12" eb="13">
      <t>タ</t>
    </rPh>
    <rPh sb="14" eb="15">
      <t>サ</t>
    </rPh>
    <rPh sb="27" eb="28">
      <t>イ</t>
    </rPh>
    <rPh sb="30" eb="32">
      <t>ヒツダン</t>
    </rPh>
    <rPh sb="47" eb="48">
      <t>イ</t>
    </rPh>
    <rPh sb="50" eb="52">
      <t>シ;</t>
    </rPh>
    <rPh sb="53" eb="54">
      <t>ツカ</t>
    </rPh>
    <rPh sb="69" eb="70">
      <t>イ</t>
    </rPh>
    <rPh sb="72" eb="76">
      <t>オンセイニンシキ</t>
    </rPh>
    <rPh sb="80" eb="81">
      <t>ツカ</t>
    </rPh>
    <phoneticPr fontId="2"/>
  </si>
  <si>
    <t>PIC</t>
    <phoneticPr fontId="2"/>
  </si>
  <si>
    <t>KatsuoShuwaDoga</t>
    <phoneticPr fontId="2"/>
  </si>
  <si>
    <t>https://ameblo.jp/motohiko-in-kumano-2013/entry-12823050275.html</t>
  </si>
  <si>
    <t>https://ameblo.jp/motohiko-in-kumano-2013/entry-12823059933.html?frm=theme</t>
  </si>
  <si>
    <t>https://ameblo.jp/motohiko-in-kumano-2013/entry-12823178426.html?frm=theme</t>
  </si>
  <si>
    <t>https://ameblo.jp/motohiko-in-kumano-2013/entry-12823828682.html?frm=theme</t>
  </si>
  <si>
    <t>https://ameblo.jp/motohiko-in-kumano-2013/entry-12824169617.html?frm=theme</t>
  </si>
  <si>
    <t>参考サイト</t>
    <rPh sb="0" eb="2">
      <t>サンコウ</t>
    </rPh>
    <phoneticPr fontId="2"/>
  </si>
  <si>
    <t>グラフのパラメータが上下しているイメージをすると分かりやすい。</t>
    <rPh sb="10" eb="12">
      <t>ジョウゲ</t>
    </rPh>
    <rPh sb="24" eb="25">
      <t>ワ</t>
    </rPh>
    <phoneticPr fontId="2"/>
  </si>
  <si>
    <t>集団やイベントなどはこのように円を描くようにして表現されることがある。
この手話の場合は指文字の「サ」あるいは「S」で集団を描くことが由来とされる。</t>
    <rPh sb="0" eb="2">
      <t>シュウダン</t>
    </rPh>
    <rPh sb="15" eb="16">
      <t>エン</t>
    </rPh>
    <rPh sb="17" eb="18">
      <t>エガ</t>
    </rPh>
    <rPh sb="24" eb="26">
      <t>ヒ;</t>
    </rPh>
    <rPh sb="38" eb="40">
      <t>シ;</t>
    </rPh>
    <rPh sb="41" eb="43">
      <t>バアイ</t>
    </rPh>
    <rPh sb="44" eb="47">
      <t>ユビモジ</t>
    </rPh>
    <rPh sb="59" eb="61">
      <t>シュウダン</t>
    </rPh>
    <rPh sb="62" eb="63">
      <t>エガ</t>
    </rPh>
    <rPh sb="67" eb="69">
      <t>ユライ</t>
    </rPh>
    <phoneticPr fontId="2"/>
  </si>
  <si>
    <t>直前に表現したものの状態が変わらないことを意味する。</t>
    <rPh sb="0" eb="2">
      <t>チョクゼン</t>
    </rPh>
    <rPh sb="3" eb="5">
      <t>ヒ;</t>
    </rPh>
    <rPh sb="10" eb="12">
      <t>ジョt</t>
    </rPh>
    <rPh sb="13" eb="14">
      <t>カ</t>
    </rPh>
    <rPh sb="21" eb="23">
      <t>イミ</t>
    </rPh>
    <phoneticPr fontId="2"/>
  </si>
  <si>
    <t>【Sample】
私の得意なことと苦手なことをお話します。
私の得意なことはスポーツです。
バスケ、野球などが好きでいつも友達と遊んでいます。
私の苦手なことは本を読むことです。
仕事の資料を読んでいると疲れてしまいます。
※2つのことを聞かれているときは「指の代理表現」で一文ずつくらい回答すればちょうどいいくらいかも？</t>
    <rPh sb="9" eb="10">
      <t>w</t>
    </rPh>
    <rPh sb="11" eb="13">
      <t>トクイ</t>
    </rPh>
    <rPh sb="17" eb="19">
      <t>ニガテ</t>
    </rPh>
    <rPh sb="30" eb="31">
      <t>w</t>
    </rPh>
    <rPh sb="32" eb="34">
      <t>トクイ</t>
    </rPh>
    <rPh sb="50" eb="54">
      <t>ヤキュウンd</t>
    </rPh>
    <rPh sb="55" eb="56">
      <t>ス</t>
    </rPh>
    <rPh sb="61" eb="63">
      <t>トモダチ</t>
    </rPh>
    <rPh sb="64" eb="65">
      <t>アソ</t>
    </rPh>
    <rPh sb="72" eb="73">
      <t>w</t>
    </rPh>
    <rPh sb="74" eb="76">
      <t>ニガテ</t>
    </rPh>
    <rPh sb="80" eb="81">
      <t>ホン</t>
    </rPh>
    <rPh sb="82" eb="83">
      <t>ヨ</t>
    </rPh>
    <rPh sb="90" eb="92">
      <t>シゴト</t>
    </rPh>
    <rPh sb="93" eb="95">
      <t>シリョウ</t>
    </rPh>
    <rPh sb="96" eb="97">
      <t>ヨ</t>
    </rPh>
    <rPh sb="102" eb="103">
      <t>ツカ</t>
    </rPh>
    <rPh sb="120" eb="121">
      <t>キ</t>
    </rPh>
    <rPh sb="130" eb="131">
      <t>ユビ</t>
    </rPh>
    <rPh sb="132" eb="136">
      <t>ダイリヒ;</t>
    </rPh>
    <rPh sb="138" eb="140">
      <t>イチブン</t>
    </rPh>
    <rPh sb="145" eb="147">
      <t>カイトウ</t>
    </rPh>
    <phoneticPr fontId="2"/>
  </si>
  <si>
    <t>【Sample】
私は4人家族です。
母、父、弟、そして私です。
弟は今年中2です。サッカー部に入っています。
私はサッカーが苦手なので一緒に遊ぶことはありません。
今度、みんなで万博に行く予定です。
※家族に関する話も「指の代理表現」を用いることが多い。</t>
    <rPh sb="9" eb="11">
      <t>ウァ</t>
    </rPh>
    <rPh sb="12" eb="13">
      <t>r</t>
    </rPh>
    <rPh sb="13" eb="18">
      <t>カゾクd;</t>
    </rPh>
    <rPh sb="19" eb="20">
      <t>ハハ</t>
    </rPh>
    <rPh sb="21" eb="22">
      <t>チチ</t>
    </rPh>
    <rPh sb="23" eb="24">
      <t>オトウト</t>
    </rPh>
    <rPh sb="28" eb="32">
      <t>wd;</t>
    </rPh>
    <rPh sb="33" eb="34">
      <t>オトウト</t>
    </rPh>
    <rPh sb="35" eb="38">
      <t>コトシチュウ</t>
    </rPh>
    <rPh sb="46" eb="47">
      <t>ブ</t>
    </rPh>
    <rPh sb="48" eb="49">
      <t>ハイ</t>
    </rPh>
    <rPh sb="56" eb="58">
      <t>ウァ</t>
    </rPh>
    <rPh sb="63" eb="65">
      <t>ニガテ</t>
    </rPh>
    <rPh sb="68" eb="70">
      <t>イッショ</t>
    </rPh>
    <rPh sb="71" eb="72">
      <t>アソ</t>
    </rPh>
    <rPh sb="83" eb="85">
      <t>コンド</t>
    </rPh>
    <rPh sb="90" eb="92">
      <t>バンパク</t>
    </rPh>
    <rPh sb="93" eb="94">
      <t>イ</t>
    </rPh>
    <rPh sb="95" eb="100">
      <t>ヨテイd;</t>
    </rPh>
    <rPh sb="103" eb="105">
      <t>カゾク</t>
    </rPh>
    <rPh sb="106" eb="107">
      <t>カン</t>
    </rPh>
    <rPh sb="109" eb="110">
      <t>ハナシ</t>
    </rPh>
    <rPh sb="112" eb="113">
      <t>ユビ</t>
    </rPh>
    <rPh sb="114" eb="118">
      <t>ダイリヒ;</t>
    </rPh>
    <rPh sb="120" eb="121">
      <t>モチ</t>
    </rPh>
    <rPh sb="126" eb="127">
      <t>オオ</t>
    </rPh>
    <phoneticPr fontId="2"/>
  </si>
  <si>
    <t>【Sample】
私は家族で旅行に行くのが好きです。
去年は北海道に行きました。
ラーメンがとてもおいしくてまた行きたいです。
でも今年は東京に行きたいので提案しようか迷っています。</t>
    <rPh sb="9" eb="11">
      <t>ウァ</t>
    </rPh>
    <rPh sb="11" eb="13">
      <t>カゾク</t>
    </rPh>
    <rPh sb="14" eb="16">
      <t>リョコウ</t>
    </rPh>
    <rPh sb="17" eb="18">
      <t>イ</t>
    </rPh>
    <rPh sb="21" eb="22">
      <t>ス</t>
    </rPh>
    <rPh sb="27" eb="29">
      <t>kll</t>
    </rPh>
    <rPh sb="30" eb="33">
      <t>ホッカイドウ</t>
    </rPh>
    <rPh sb="34" eb="35">
      <t>イ</t>
    </rPh>
    <rPh sb="56" eb="57">
      <t>イ</t>
    </rPh>
    <rPh sb="66" eb="68">
      <t>コトシ</t>
    </rPh>
    <rPh sb="69" eb="71">
      <t>tk</t>
    </rPh>
    <rPh sb="72" eb="73">
      <t>イ</t>
    </rPh>
    <rPh sb="78" eb="80">
      <t>テイアン</t>
    </rPh>
    <rPh sb="84" eb="85">
      <t>マヨ</t>
    </rPh>
    <phoneticPr fontId="2"/>
  </si>
  <si>
    <t>【Sample】
私の趣味は写真を撮ることです。
大学の友達とたまに旅行に行くんです。
その時に写真撮影を担当しています。
スマートフォンで撮ることが多いですが今後は高いカメラを買ってもいいかなと思っています。</t>
    <rPh sb="9" eb="10">
      <t>w</t>
    </rPh>
    <rPh sb="11" eb="13">
      <t>シュミ</t>
    </rPh>
    <rPh sb="14" eb="16">
      <t>シャシン</t>
    </rPh>
    <rPh sb="17" eb="18">
      <t>ト</t>
    </rPh>
    <rPh sb="25" eb="27">
      <t>ダイガク</t>
    </rPh>
    <rPh sb="28" eb="30">
      <t>トモダチ</t>
    </rPh>
    <rPh sb="34" eb="36">
      <t>リョコウ</t>
    </rPh>
    <rPh sb="37" eb="38">
      <t>イ</t>
    </rPh>
    <rPh sb="46" eb="47">
      <t>トキ</t>
    </rPh>
    <rPh sb="48" eb="52">
      <t>シャシンサツエイ</t>
    </rPh>
    <rPh sb="53" eb="55">
      <t>タントウ</t>
    </rPh>
    <rPh sb="70" eb="71">
      <t>ト</t>
    </rPh>
    <rPh sb="75" eb="76">
      <t>オオ</t>
    </rPh>
    <rPh sb="80" eb="82">
      <t>コンゴ</t>
    </rPh>
    <rPh sb="83" eb="84">
      <t>タカ</t>
    </rPh>
    <phoneticPr fontId="2"/>
  </si>
  <si>
    <t>【Sample】
どうも。私の名前は山田です。
兵庫で生まれ育ちました。
今は引っ越して大阪で働いています。
仕事内容は教師です。
高校生たちに教えるのは大変ですが頑張っています。</t>
    <rPh sb="13" eb="14">
      <t>w</t>
    </rPh>
    <rPh sb="15" eb="17">
      <t>ナマエ</t>
    </rPh>
    <rPh sb="18" eb="23">
      <t>ヤマダd;</t>
    </rPh>
    <rPh sb="24" eb="26">
      <t>ヒョウゴ</t>
    </rPh>
    <rPh sb="27" eb="28">
      <t>ウ</t>
    </rPh>
    <rPh sb="30" eb="31">
      <t>ソダ</t>
    </rPh>
    <rPh sb="37" eb="38">
      <t>イマ</t>
    </rPh>
    <rPh sb="39" eb="40">
      <t>ヒ</t>
    </rPh>
    <rPh sb="41" eb="42">
      <t>コ</t>
    </rPh>
    <rPh sb="44" eb="46">
      <t>オオサカ</t>
    </rPh>
    <rPh sb="47" eb="54">
      <t>ハタライテイm;</t>
    </rPh>
    <rPh sb="55" eb="59">
      <t>シゴトナイヨウ</t>
    </rPh>
    <rPh sb="60" eb="65">
      <t>キョウシd;</t>
    </rPh>
    <rPh sb="66" eb="69">
      <t>コウコウセイ</t>
    </rPh>
    <rPh sb="72" eb="73">
      <t>オシ</t>
    </rPh>
    <rPh sb="77" eb="79">
      <t>タイヘン</t>
    </rPh>
    <rPh sb="82" eb="84">
      <t>ガンバ</t>
    </rPh>
    <phoneticPr fontId="2"/>
  </si>
  <si>
    <t>【Sample】
私の好きなものと嫌いものをお話します。
好きなものは漫画です。
最近はアプリで読むことができます。おすすめです。
嫌いなものは働くことです。
1日中家で寝ていたいです。
※2つのことを聞かれているときは「指の代理表現」で一文ずつくらい回答すればちょうどいいくらいかも？</t>
    <rPh sb="9" eb="10">
      <t>w</t>
    </rPh>
    <rPh sb="11" eb="12">
      <t>ス</t>
    </rPh>
    <rPh sb="17" eb="18">
      <t>キラ</t>
    </rPh>
    <rPh sb="29" eb="30">
      <t>ス</t>
    </rPh>
    <rPh sb="35" eb="40">
      <t>マンガd;</t>
    </rPh>
    <rPh sb="41" eb="43">
      <t>サイキン</t>
    </rPh>
    <rPh sb="48" eb="49">
      <t>ヨ</t>
    </rPh>
    <rPh sb="66" eb="67">
      <t>キラ</t>
    </rPh>
    <rPh sb="72" eb="73">
      <t>ハタラ</t>
    </rPh>
    <rPh sb="81" eb="83">
      <t>hチュウ</t>
    </rPh>
    <rPh sb="83" eb="84">
      <t>イエ</t>
    </rPh>
    <rPh sb="85" eb="86">
      <t>ネ</t>
    </rPh>
    <phoneticPr fontId="2"/>
  </si>
  <si>
    <t>【Sample】
私が手話を始めたきっかけについてお話します。
私が手話を始めたきっかけは「ドラマ」です。
5年前にテレビで「silent」というドラマを見ました。
難聴の男の人と聞こえる女の人が手話で話していて格好いいと思いました。
今は手話サークルにたまに通っています。
これからも頑張ります。</t>
    <rPh sb="9" eb="10">
      <t>w</t>
    </rPh>
    <rPh sb="11" eb="13">
      <t>シ;</t>
    </rPh>
    <rPh sb="14" eb="15">
      <t>ハジ</t>
    </rPh>
    <rPh sb="32" eb="33">
      <t>w</t>
    </rPh>
    <rPh sb="34" eb="36">
      <t>シ;</t>
    </rPh>
    <rPh sb="37" eb="38">
      <t>ハジ</t>
    </rPh>
    <rPh sb="55" eb="57">
      <t>ネンマエ</t>
    </rPh>
    <rPh sb="77" eb="78">
      <t>ミ</t>
    </rPh>
    <rPh sb="83" eb="89">
      <t>ナンチョウノオトコノr</t>
    </rPh>
    <rPh sb="90" eb="91">
      <t>キ</t>
    </rPh>
    <rPh sb="94" eb="95">
      <t>オンナ</t>
    </rPh>
    <rPh sb="96" eb="97">
      <t>r</t>
    </rPh>
    <rPh sb="98" eb="100">
      <t>シ;</t>
    </rPh>
    <rPh sb="101" eb="102">
      <t>ハナ</t>
    </rPh>
    <rPh sb="106" eb="110">
      <t>kyy</t>
    </rPh>
    <rPh sb="111" eb="112">
      <t>オモ</t>
    </rPh>
    <rPh sb="118" eb="119">
      <t>イマ</t>
    </rPh>
    <rPh sb="120" eb="126">
      <t>シサ;</t>
    </rPh>
    <rPh sb="130" eb="131">
      <t>カヨ</t>
    </rPh>
    <rPh sb="143" eb="145">
      <t>ガンバ</t>
    </rPh>
    <phoneticPr fontId="2"/>
  </si>
  <si>
    <t>【Sample】
先週の土曜日、京都に行きました。外国からたくさんの人が来ていました。東京には遊べる場所がたくさんありますが京都は日本の歴史が感じられて勉強にもなると思います。帰りの電車では疲れて寝てしまいました。</t>
    <rPh sb="25" eb="27">
      <t>ガイコク</t>
    </rPh>
    <rPh sb="34" eb="35">
      <t>r</t>
    </rPh>
    <rPh sb="36" eb="37">
      <t>キ</t>
    </rPh>
    <rPh sb="43" eb="45">
      <t>tk</t>
    </rPh>
    <rPh sb="47" eb="48">
      <t>アソ</t>
    </rPh>
    <rPh sb="50" eb="52">
      <t>バショ</t>
    </rPh>
    <rPh sb="62" eb="64">
      <t>キョウト</t>
    </rPh>
    <rPh sb="65" eb="67">
      <t>ニホン</t>
    </rPh>
    <rPh sb="68" eb="70">
      <t>レキシ</t>
    </rPh>
    <rPh sb="71" eb="72">
      <t>カン</t>
    </rPh>
    <rPh sb="76" eb="78">
      <t>ベンキョウ</t>
    </rPh>
    <rPh sb="82" eb="87">
      <t>tm</t>
    </rPh>
    <rPh sb="98" eb="99">
      <t>ネ</t>
    </rPh>
    <phoneticPr fontId="2"/>
  </si>
  <si>
    <t>【Sample】
先週の日曜日は朝に公園を散歩しました。昼は家の掃除をしました。夜は映画を見たあと資格の勉強をしました。月曜日からは仕事なので仕事の準備もしました。忙しいですが自分の成長を感じます。</t>
    <rPh sb="49" eb="51">
      <t>シカク</t>
    </rPh>
    <rPh sb="52" eb="54">
      <t>ベンキョウ</t>
    </rPh>
    <rPh sb="60" eb="63">
      <t>ゲy</t>
    </rPh>
    <rPh sb="66" eb="68">
      <t>シゴト</t>
    </rPh>
    <rPh sb="71" eb="73">
      <t>シゴト</t>
    </rPh>
    <rPh sb="74" eb="76">
      <t>ジュンビ</t>
    </rPh>
    <rPh sb="82" eb="83">
      <t>イソガ</t>
    </rPh>
    <rPh sb="88" eb="90">
      <t>ジf</t>
    </rPh>
    <rPh sb="91" eb="93">
      <t>セイチョウ</t>
    </rPh>
    <rPh sb="94" eb="95">
      <t>カン</t>
    </rPh>
    <phoneticPr fontId="2"/>
  </si>
  <si>
    <t>【Sample】
今年の一番の思い出は、新しい手話サークルに参加したことです。最初は緊張しましたが、皆さん優しい方ばかりです。毎月イベントがあり、学んだことを発表します。挑戦する楽しさを知りました。</t>
    <rPh sb="23" eb="25">
      <t>シュワ</t>
    </rPh>
    <rPh sb="50" eb="53">
      <t>ミs</t>
    </rPh>
    <rPh sb="53" eb="54">
      <t>ヤサ</t>
    </rPh>
    <rPh sb="56" eb="57">
      <t>カタ</t>
    </rPh>
    <rPh sb="63" eb="65">
      <t>マイツキ</t>
    </rPh>
    <phoneticPr fontId="2"/>
  </si>
  <si>
    <t>【Sample】
年末は自分の部屋を掃除しました。正月は家族とおせちを食べ、神社に行きました。そのあと、目標をノートに書きました。今年は10キロ痩せることを目指しています。明日からランニングを始めます。</t>
    <rPh sb="12" eb="14">
      <t>ジf</t>
    </rPh>
    <rPh sb="25" eb="27">
      <t>ショウガツ</t>
    </rPh>
    <rPh sb="65" eb="67">
      <t>コトシ</t>
    </rPh>
    <rPh sb="72" eb="73">
      <t>ヤ</t>
    </rPh>
    <rPh sb="78" eb="80">
      <t>メザ</t>
    </rPh>
    <rPh sb="86" eb="88">
      <t>アシタ</t>
    </rPh>
    <rPh sb="96" eb="97">
      <t>ハジ</t>
    </rPh>
    <phoneticPr fontId="2"/>
  </si>
  <si>
    <t>【Sample】
昨日は七時に起きて、ランニングをしました。午前は資料作成、午後はオンライン会議がありました。夜は英語と手話を少し練習しました。英語は慣れていますが手話は始めたばかりなのでまだまだです。</t>
    <rPh sb="33" eb="37">
      <t>シリョウサクセイ</t>
    </rPh>
    <rPh sb="72" eb="74">
      <t>エイゴ</t>
    </rPh>
    <rPh sb="75" eb="76">
      <t>ナ</t>
    </rPh>
    <rPh sb="82" eb="84">
      <t>シ;</t>
    </rPh>
    <rPh sb="85" eb="86">
      <t>ハジ</t>
    </rPh>
    <phoneticPr fontId="2"/>
  </si>
  <si>
    <t>【Sample】
夏の思い出は、友達と海に行きました。神戸の海です。泳ぐことはしませんでしたけど太陽が沈んでいくのを見ていました。日焼け止めを塗っていなかったので肌がめちゃくちゃ痛かったです。</t>
    <rPh sb="16" eb="18">
      <t>トモダチ</t>
    </rPh>
    <rPh sb="19" eb="20">
      <t>ウミ</t>
    </rPh>
    <rPh sb="21" eb="22">
      <t>イ</t>
    </rPh>
    <rPh sb="27" eb="29">
      <t>コウベ</t>
    </rPh>
    <rPh sb="30" eb="31">
      <t>ウミ</t>
    </rPh>
    <rPh sb="34" eb="35">
      <t>オヨ</t>
    </rPh>
    <rPh sb="48" eb="50">
      <t>タイヨウ</t>
    </rPh>
    <rPh sb="51" eb="52">
      <t>シズ</t>
    </rPh>
    <rPh sb="58" eb="59">
      <t>ミ</t>
    </rPh>
    <rPh sb="65" eb="67">
      <t>ヒヤ</t>
    </rPh>
    <rPh sb="68" eb="69">
      <t>ド</t>
    </rPh>
    <rPh sb="71" eb="72">
      <t>ヌ</t>
    </rPh>
    <rPh sb="81" eb="82">
      <t>ハダ</t>
    </rPh>
    <rPh sb="89" eb="90">
      <t>イタ</t>
    </rPh>
    <phoneticPr fontId="2"/>
  </si>
  <si>
    <t>【Sample】
いちばん楽しかったのは友人の結婚式に参加したことです。久しぶりに仲間と再会して、たくさん話して盛り上がりました。ろうの友達も来ていたので手話での会話もしました。手話を表すのは久しぶりでした。</t>
    <rPh sb="53" eb="54">
      <t>ハナ</t>
    </rPh>
    <rPh sb="56" eb="57">
      <t>モ</t>
    </rPh>
    <rPh sb="58" eb="59">
      <t>ア</t>
    </rPh>
    <rPh sb="68" eb="70">
      <t>トモダチ</t>
    </rPh>
    <rPh sb="71" eb="72">
      <t>キ</t>
    </rPh>
    <rPh sb="77" eb="79">
      <t>シ;</t>
    </rPh>
    <rPh sb="81" eb="83">
      <t>カイワ</t>
    </rPh>
    <rPh sb="89" eb="91">
      <t>シ;</t>
    </rPh>
    <rPh sb="92" eb="93">
      <t>アラワ</t>
    </rPh>
    <rPh sb="96" eb="97">
      <t>ヒサ</t>
    </rPh>
    <phoneticPr fontId="2"/>
  </si>
  <si>
    <t>【Sample】
会議が多かったです。月曜は資料作成、火曜は発表、水曜は質疑対応をしました。木曜日はお客様の会社に行って商品説明をしました。金曜日は契約の申請をしました。めちゃくちゃ疲れたので土曜日日曜日は寝ていました。</t>
    <rPh sb="9" eb="11">
      <t>カイギ</t>
    </rPh>
    <rPh sb="12" eb="13">
      <t>オオ</t>
    </rPh>
    <rPh sb="22" eb="26">
      <t>シリョウサクセイ</t>
    </rPh>
    <rPh sb="36" eb="40">
      <t>シツギタl</t>
    </rPh>
    <rPh sb="46" eb="49">
      <t>モクヨウビ</t>
    </rPh>
    <rPh sb="51" eb="53">
      <t>k;</t>
    </rPh>
    <rPh sb="54" eb="56">
      <t>カイシャ</t>
    </rPh>
    <rPh sb="57" eb="58">
      <t>イ</t>
    </rPh>
    <rPh sb="60" eb="64">
      <t>ショウヒンセツメイ</t>
    </rPh>
    <rPh sb="70" eb="73">
      <t>キy</t>
    </rPh>
    <rPh sb="74" eb="76">
      <t>ケイヤク</t>
    </rPh>
    <rPh sb="77" eb="79">
      <t>シンセイ</t>
    </rPh>
    <rPh sb="91" eb="92">
      <t>ツカ</t>
    </rPh>
    <rPh sb="96" eb="99">
      <t>ドy</t>
    </rPh>
    <rPh sb="99" eb="102">
      <t>ニy</t>
    </rPh>
    <rPh sb="103" eb="104">
      <t>ネ</t>
    </rPh>
    <phoneticPr fontId="2"/>
  </si>
  <si>
    <t>【Sample】
引っ越しをして、生活が少し変わりました。通勤時間が短くなり、勉強の時間が増えました。手話講座に通い始めました。手話の表現がうまくなったと言われてうれしかったです。引っ越しは大変ですがいい変化があったなと思います。</t>
    <rPh sb="64" eb="66">
      <t>シ；</t>
    </rPh>
    <rPh sb="90" eb="91">
      <t>ヒ</t>
    </rPh>
    <rPh sb="92" eb="93">
      <t>コ</t>
    </rPh>
    <rPh sb="95" eb="97">
      <t>タイヘン</t>
    </rPh>
    <rPh sb="102" eb="104">
      <t>ヘンカ</t>
    </rPh>
    <rPh sb="109" eb="114">
      <t>tm</t>
    </rPh>
    <phoneticPr fontId="2"/>
  </si>
  <si>
    <t>【Sample】
私の一日は、朝の散歩、昼は仕事、夜は勉強、この繰り返しです。寝る前に明日の予定を確認することが重要です。仕事が長引くこともあるので勉強しないこともあります。今はITの勉強をしています。</t>
    <rPh sb="32" eb="33">
      <t>ク</t>
    </rPh>
    <rPh sb="34" eb="35">
      <t>カエ</t>
    </rPh>
    <rPh sb="56" eb="58">
      <t>ジュウヨウ</t>
    </rPh>
    <rPh sb="61" eb="63">
      <t>シゴト</t>
    </rPh>
    <rPh sb="64" eb="66">
      <t>ナガビ</t>
    </rPh>
    <rPh sb="74" eb="76">
      <t>ベンキョウ</t>
    </rPh>
    <rPh sb="87" eb="88">
      <t>イマ</t>
    </rPh>
    <rPh sb="92" eb="94">
      <t>ベンキョウ</t>
    </rPh>
    <phoneticPr fontId="2"/>
  </si>
  <si>
    <t>【Sample】
近所の人には会ったら元気にあいさつします。ゴミ出しのルールを守ると気持ちよく暮らせます。友達とは月に一度お茶をして近況報告をします。短い時間でもつながりを感じます。</t>
    <phoneticPr fontId="2"/>
  </si>
  <si>
    <t>【Sample】
私は走るのが好きです。音楽を聞きながら公園をゆっくり走ります。タイムよりも、気持ちよく続けることを大切にしています。大会にもいつか出てみたいです。</t>
    <phoneticPr fontId="2"/>
  </si>
  <si>
    <t>【Sample】
一番楽しかった思い出は、学生時代の文化祭です。クラスで出し物を作り、夜まで準備しました。本番でお客さんが笑ってくれて、とても達成感がありました。</t>
    <phoneticPr fontId="2"/>
  </si>
  <si>
    <t>【Sample】
食事では色を意識します。赤・緑・黄をそろえると栄養が偏りにくいです。甘い物は週末に少しだけ。水筒を持ち歩き、こまめに水分補給をします。</t>
    <phoneticPr fontId="2"/>
  </si>
  <si>
    <t>【Sample】
先月は郊外でキャンプをしました。夜の星がきれいでした。去年は家族で北海道へ行き、広い景色とおいしい海鮮を楽しみました。家族写真は今でも宝物です。</t>
    <phoneticPr fontId="2"/>
  </si>
  <si>
    <t>【Sample】
平日は仕事中心、夜は学習とストレッチ。休日は家事と散歩、たまに美術館に行きます。忙しい日も、温かいお茶で一息つく時間を作ります。</t>
    <phoneticPr fontId="2"/>
  </si>
  <si>
    <t>【Sample】
子ども会の夏の工作教室を手伝いました。説明はゆっくり、簡単な言葉で話しました。できあがった作品を見て、子どもたちが誇らしそうでうれしかったです。</t>
    <phoneticPr fontId="2"/>
  </si>
  <si>
    <t>【Sample】
町内会の清掃日に参加しました。公園の落ち葉を集め、花に水をあげました。終わったあとは皆でお茶を飲んで情報交換をしました。暮らしやすい町は自分たちで作ると感じました。</t>
    <phoneticPr fontId="2"/>
  </si>
  <si>
    <t>【Sample】
夏まつりでは屋台の手伝いをしました。太鼓の音が響き、子どもも大人も笑顔でした。浴衣の人が多く、写真をたくさん撮りました。夏の思い出が増えました。</t>
    <phoneticPr fontId="2"/>
  </si>
  <si>
    <t>【Sample】
学生時代は放送部に入り、校内アナウンスを担当しました。最初は緊張しましたが、声で場を支える楽しさを知りました。その経験が今の発表にも役立っています。</t>
    <phoneticPr fontId="2"/>
  </si>
  <si>
    <t>【Sample】
地区の運動会でリレーに出ました。チームで声をかけ合い、バトンをつなぎました。結果は二位でしたが、みんなで力を出し切って満足でした。</t>
    <phoneticPr fontId="2"/>
  </si>
  <si>
    <t>【Sample】
朝の涼しい時間に運動し、昼は無理をしません。水と塩分をこまめに補給します。外では帽子と日陰を活用し、室内ではエアコンと扇風機で温度管理をします。睡眠をしっかり取りました。</t>
    <phoneticPr fontId="2"/>
  </si>
  <si>
    <t>【Sample】
連休は新しい挑戦を始めることが多いです。今年はピアノに挑戦しました。私は音楽が苦手でしたが先生は優しかったため、徐々に慣れることができました。家は広くないため、ピアノを買い置くことはできませんがいつか引っ越して買いたいです。</t>
    <rPh sb="12" eb="13">
      <t>アタラ</t>
    </rPh>
    <rPh sb="15" eb="17">
      <t>チョウセン</t>
    </rPh>
    <rPh sb="18" eb="19">
      <t>ハジ</t>
    </rPh>
    <rPh sb="24" eb="25">
      <t>オオ</t>
    </rPh>
    <rPh sb="29" eb="31">
      <t>コトシ</t>
    </rPh>
    <rPh sb="36" eb="38">
      <t>チョウセン</t>
    </rPh>
    <rPh sb="43" eb="45">
      <t>ウァ</t>
    </rPh>
    <rPh sb="45" eb="47">
      <t>オンガク</t>
    </rPh>
    <rPh sb="48" eb="50">
      <t>ニガテ</t>
    </rPh>
    <rPh sb="54" eb="56">
      <t>センセイ</t>
    </rPh>
    <rPh sb="57" eb="58">
      <t>ヤサ</t>
    </rPh>
    <rPh sb="65" eb="67">
      <t>ジョジョ</t>
    </rPh>
    <rPh sb="68" eb="69">
      <t>ナ</t>
    </rPh>
    <rPh sb="80" eb="81">
      <t>イエ</t>
    </rPh>
    <rPh sb="82" eb="83">
      <t>ヒロ</t>
    </rPh>
    <rPh sb="93" eb="94">
      <t>カ</t>
    </rPh>
    <rPh sb="95" eb="96">
      <t>オ</t>
    </rPh>
    <rPh sb="109" eb="110">
      <t>ヒ</t>
    </rPh>
    <rPh sb="111" eb="112">
      <t>コ</t>
    </rPh>
    <rPh sb="114" eb="115">
      <t>カ</t>
    </rPh>
    <phoneticPr fontId="2"/>
  </si>
  <si>
    <t>【Sample】
今年は新しいパソコンを買いました。インターネットにつながるのが非常に速いです。私は動画で勉強することが多いので速さはとても大切です。インターネット契約も今度相談に行こうと思っています。</t>
    <rPh sb="40" eb="42">
      <t>ヒj</t>
    </rPh>
    <rPh sb="43" eb="44">
      <t>ハヤ</t>
    </rPh>
    <rPh sb="48" eb="50">
      <t>ウァ</t>
    </rPh>
    <rPh sb="50" eb="52">
      <t>ドウガ</t>
    </rPh>
    <rPh sb="53" eb="55">
      <t>ベンキョウ</t>
    </rPh>
    <rPh sb="60" eb="61">
      <t>オオ</t>
    </rPh>
    <rPh sb="64" eb="65">
      <t>ハヤ</t>
    </rPh>
    <rPh sb="70" eb="75">
      <t>タイセツd;</t>
    </rPh>
    <rPh sb="76" eb="84">
      <t>r;ケイヤク</t>
    </rPh>
    <rPh sb="85" eb="89">
      <t>コンドソウダン</t>
    </rPh>
    <rPh sb="90" eb="91">
      <t>イ</t>
    </rPh>
    <rPh sb="94" eb="95">
      <t>オモ</t>
    </rPh>
    <phoneticPr fontId="2"/>
  </si>
  <si>
    <t>【Sample】
先週は友達と図書館に行きました。友達は最近フランス語の勉強を始めたらしいです。私も手話の本を借りました。タイトルは日本手話で学ぶ手話言語学の基礎。非常に難しいので昨日はそれをずっと読んでいました。</t>
    <rPh sb="9" eb="11">
      <t>センシュウ</t>
    </rPh>
    <rPh sb="12" eb="14">
      <t>トモダチ</t>
    </rPh>
    <rPh sb="15" eb="18">
      <t>トショカン</t>
    </rPh>
    <rPh sb="19" eb="20">
      <t>イ</t>
    </rPh>
    <rPh sb="25" eb="27">
      <t>トモダチ</t>
    </rPh>
    <rPh sb="28" eb="30">
      <t>サイキン</t>
    </rPh>
    <rPh sb="34" eb="35">
      <t>ゴ</t>
    </rPh>
    <rPh sb="36" eb="38">
      <t>ベンキョウ</t>
    </rPh>
    <rPh sb="39" eb="40">
      <t>ハジ</t>
    </rPh>
    <rPh sb="48" eb="49">
      <t>w</t>
    </rPh>
    <rPh sb="50" eb="52">
      <t>シ;</t>
    </rPh>
    <rPh sb="53" eb="54">
      <t>ホン</t>
    </rPh>
    <rPh sb="55" eb="56">
      <t>カ</t>
    </rPh>
    <rPh sb="66" eb="70">
      <t>ニホンシ;</t>
    </rPh>
    <rPh sb="71" eb="72">
      <t>マナ</t>
    </rPh>
    <rPh sb="73" eb="78">
      <t>シ;ゲンゴガク</t>
    </rPh>
    <rPh sb="79" eb="81">
      <t>キソ</t>
    </rPh>
    <rPh sb="82" eb="84">
      <t>ヒj</t>
    </rPh>
    <rPh sb="85" eb="86">
      <t>ムズカ</t>
    </rPh>
    <rPh sb="90" eb="92">
      <t>kl</t>
    </rPh>
    <rPh sb="99" eb="100">
      <t>ヨ</t>
    </rPh>
    <phoneticPr fontId="2"/>
  </si>
  <si>
    <t>【Sample】
大切にしていることは3つあります。①七時間眠る、②朝に水を飲む、③三十分歩く。私はIT企業で働いており、家と事務所の往復もありません。体を動かす機会が足りないと言われてからこれらを始めました。</t>
    <rPh sb="9" eb="11">
      <t>タイセツ</t>
    </rPh>
    <rPh sb="48" eb="50">
      <t>ウァ</t>
    </rPh>
    <rPh sb="52" eb="54">
      <t>キギョウ</t>
    </rPh>
    <rPh sb="55" eb="56">
      <t>ハタラ</t>
    </rPh>
    <rPh sb="61" eb="62">
      <t>イエ</t>
    </rPh>
    <rPh sb="63" eb="66">
      <t>ジムショ</t>
    </rPh>
    <rPh sb="67" eb="69">
      <t>オウフク</t>
    </rPh>
    <rPh sb="76" eb="77">
      <t>カラダ</t>
    </rPh>
    <rPh sb="78" eb="79">
      <t>ウゴ</t>
    </rPh>
    <rPh sb="81" eb="83">
      <t>キカイ</t>
    </rPh>
    <rPh sb="84" eb="85">
      <t>タ</t>
    </rPh>
    <rPh sb="89" eb="90">
      <t>イ</t>
    </rPh>
    <rPh sb="99" eb="100">
      <t>ハジ</t>
    </rPh>
    <phoneticPr fontId="2"/>
  </si>
  <si>
    <t>【Sample】
仕事で感謝のメッセージカードをもらったことがあります。小さなサポートでしたが、「助かった」と言われて嬉しかったです。今度もいろいろな人を応援したいです。</t>
    <rPh sb="59" eb="60">
      <t>ウレ</t>
    </rPh>
    <rPh sb="67" eb="69">
      <t>コンド</t>
    </rPh>
    <rPh sb="75" eb="76">
      <t>r</t>
    </rPh>
    <rPh sb="77" eb="79">
      <t>オウエン</t>
    </rPh>
    <phoneticPr fontId="2"/>
  </si>
  <si>
    <t>【Sample】
将来の夢は、人と人をつなぐ通訳・調整役になることです。言葉や文化が違っても、安心して話せる場を作りたいです。そのために学びを続け、信頼される人になります。</t>
    <phoneticPr fontId="2"/>
  </si>
  <si>
    <t>【Sample】
今は英語と手話の両方をがんばっています。毎日十五分の経験を重ねることが重要だと思います。間違えても気にせず挑戦を続けることを目標にしています。</t>
    <rPh sb="35" eb="37">
      <t>ケイケン</t>
    </rPh>
    <rPh sb="38" eb="39">
      <t>カサ</t>
    </rPh>
    <rPh sb="44" eb="46">
      <t>ジュウヨウ</t>
    </rPh>
    <rPh sb="47" eb="52">
      <t>tm</t>
    </rPh>
    <rPh sb="62" eb="64">
      <t>チョウセン</t>
    </rPh>
    <rPh sb="65" eb="66">
      <t>ツヅ</t>
    </rPh>
    <phoneticPr fontId="2"/>
  </si>
  <si>
    <t>単語の意味を選択してください。</t>
    <phoneticPr fontId="2"/>
  </si>
  <si>
    <t>1. 会う
2. あいさつ
3. 一緒
4. 行く</t>
    <phoneticPr fontId="2"/>
  </si>
  <si>
    <t>1. 赤
2. 緑
3. 青
4. 黒</t>
    <phoneticPr fontId="2"/>
  </si>
  <si>
    <t>1. 浅い
2. 高い
3. 広い
4. 深い</t>
    <phoneticPr fontId="2"/>
  </si>
  <si>
    <t>1. 下手
2. 苦手
3. 上手
4. 上</t>
    <phoneticPr fontId="2"/>
  </si>
  <si>
    <t>1. バス
2. 車
3. 自転車
4. 電車</t>
    <phoneticPr fontId="2"/>
  </si>
  <si>
    <t>1. パン
2. ケーキ
3. クッキー
4. ごはん</t>
    <phoneticPr fontId="2"/>
  </si>
  <si>
    <t>1. 水
2. コーヒー
3. お茶
4. 牛乳</t>
    <phoneticPr fontId="2"/>
  </si>
  <si>
    <t>1. すこし
2. とても
3. あまり
4. ぜんぜん</t>
    <phoneticPr fontId="2"/>
  </si>
  <si>
    <t>1. 卓球
2. 野球
3. サッカー
4. バレー</t>
    <phoneticPr fontId="2"/>
  </si>
  <si>
    <t>1. あう
2. ちがう
3. たべる
4. しごと</t>
    <phoneticPr fontId="2"/>
  </si>
  <si>
    <t>1. 犬
2. 虫
3. 猫
4. 鳥</t>
    <phoneticPr fontId="2"/>
  </si>
  <si>
    <t>1. 強い
2. 弱い
3. 元気
4. 大きい</t>
    <phoneticPr fontId="2"/>
  </si>
  <si>
    <t>1. 言う
2. 話す
3. 聞く
4. 読む</t>
    <phoneticPr fontId="2"/>
  </si>
  <si>
    <t>1. こんにちは
2. こんばんは
3. おはよう
4. さようなら</t>
    <phoneticPr fontId="2"/>
  </si>
  <si>
    <t>1. 休けい
2. ごはん
3. 遊び
4. 授業</t>
    <phoneticPr fontId="2"/>
  </si>
  <si>
    <t>1. 近い
2. 遠い
3. 長い
4. 広い</t>
    <phoneticPr fontId="2"/>
  </si>
  <si>
    <t>1. 14
2. 15
3. 16
4. 17</t>
    <phoneticPr fontId="2"/>
  </si>
  <si>
    <t>1. ファックス
2. 電話
3. メール
4. 手紙</t>
    <phoneticPr fontId="2"/>
  </si>
  <si>
    <t>1. 恥ずかしい
2. うれしい
3. かなしい
4. たのしい</t>
    <phoneticPr fontId="2"/>
  </si>
  <si>
    <t>1. 聞こえる
2. 見える
3. 感じる
4. わかる</t>
    <phoneticPr fontId="2"/>
  </si>
  <si>
    <t>1. 歩く
2. 走る
3. 飛ぶ
4. 泳ぐ</t>
    <phoneticPr fontId="2"/>
  </si>
  <si>
    <t>1. 出会い
2. 別れ
3. はじまり
4. 終わり</t>
    <phoneticPr fontId="2"/>
  </si>
  <si>
    <t>1. なるほど
2. そうだね
3. すごい
4. いいね</t>
    <phoneticPr fontId="2"/>
  </si>
  <si>
    <t>1. おいしい
2. まずい
3. たかい
4. やすい</t>
    <phoneticPr fontId="2"/>
  </si>
  <si>
    <t>1. テレビ
2. パソコン
3. ラジオ
4. スマホ</t>
    <phoneticPr fontId="2"/>
  </si>
  <si>
    <t>1. おめでとう
2. こんにちは
3. ありがとう
4. いらっしゃい</t>
    <phoneticPr fontId="2"/>
  </si>
  <si>
    <t>1. また明日
2. もう一度
3. 方法
4. こんにちは</t>
    <rPh sb="19" eb="21">
      <t>ホウホウ</t>
    </rPh>
    <phoneticPr fontId="2"/>
  </si>
  <si>
    <t>1. 村
2. 街
3. 土
4. 森</t>
    <rPh sb="13" eb="14">
      <t>ツチ</t>
    </rPh>
    <rPh sb="18" eb="19">
      <t>モリ</t>
    </rPh>
    <phoneticPr fontId="2"/>
  </si>
  <si>
    <t>Option Explicit</t>
  </si>
  <si>
    <t>' G列の「1.□□2.□□3.□□4.□□」のような文字列を</t>
  </si>
  <si>
    <t>' 2つ目以降の「.」の直前（＝その直前の数字の直前）でセル内改行に整形します。</t>
  </si>
  <si>
    <t>Public Sub FormatOptionsInColumnG()</t>
  </si>
  <si>
    <t xml:space="preserve">    Dim ws As Worksheet</t>
  </si>
  <si>
    <t xml:space="preserve">    Dim startRow As Long, lastRow As Long, r As Long</t>
  </si>
  <si>
    <t xml:space="preserve">    Dim s As String, res As String</t>
  </si>
  <si>
    <t xml:space="preserve">    Dim i As Long, dotCount As Long, ch As String</t>
  </si>
  <si>
    <t xml:space="preserve">    Set ws = ActiveSheet</t>
  </si>
  <si>
    <t xml:space="preserve">    ' 開始行を入力（例：2）</t>
  </si>
  <si>
    <t xml:space="preserve">    startRow = CLng(Application.InputBox( _</t>
  </si>
  <si>
    <t xml:space="preserve">                  Prompt:="処理を開始する行番号を入力してください（G列）。", _</t>
  </si>
  <si>
    <t xml:space="preserve">                  Title:="開始行の指定", Type:=1))</t>
  </si>
  <si>
    <t xml:space="preserve">    If startRow &lt;= 0 Then Exit Sub</t>
  </si>
  <si>
    <t xml:space="preserve">    ' G列の最終行</t>
  </si>
  <si>
    <t xml:space="preserve">    lastRow = ws.Cells(ws.Rows.Count, "G").End(xlUp).Row</t>
  </si>
  <si>
    <t xml:space="preserve">    If lastRow &lt; startRow Then Exit Sub</t>
  </si>
  <si>
    <t xml:space="preserve">    Application.ScreenUpdating = False</t>
  </si>
  <si>
    <t xml:space="preserve">    For r = startRow To lastRow</t>
  </si>
  <si>
    <t xml:space="preserve">        s = CStr(ws.Cells(r, "G").Value)</t>
  </si>
  <si>
    <t xml:space="preserve">        If Len(s) &gt; 0 Then</t>
  </si>
  <si>
    <t xml:space="preserve">            res = ""</t>
  </si>
  <si>
    <t xml:space="preserve">            dotCount = 0</t>
  </si>
  <si>
    <t xml:space="preserve">            ' 文字を左から走査して、2つ目以降の「.」の直前に改行を挿入</t>
  </si>
  <si>
    <t xml:space="preserve">            For i = 1 To Len(s)</t>
  </si>
  <si>
    <t xml:space="preserve">                ch = Mid$(s, i, 1)</t>
  </si>
  <si>
    <t xml:space="preserve">                If ch = "." Then</t>
  </si>
  <si>
    <t xml:space="preserve">                    dotCount = dotCount + 1</t>
  </si>
  <si>
    <t xml:space="preserve">                    If dotCount &gt;= 2 And Len(res) &gt;= 1 Then</t>
  </si>
  <si>
    <t xml:space="preserve">                        ' 直前文字（通常は2,3,4などの数字）の直前に改行を挿入</t>
  </si>
  <si>
    <t xml:space="preserve">                        res = Left$(res, Len(res) - 1) &amp; vbLf &amp; Right$(res, 1)</t>
  </si>
  <si>
    <t xml:space="preserve">                    End If</t>
  </si>
  <si>
    <t xml:space="preserve">                    res = res &amp; ch</t>
  </si>
  <si>
    <t xml:space="preserve">                Else</t>
  </si>
  <si>
    <t xml:space="preserve">                End If</t>
  </si>
  <si>
    <t xml:space="preserve">            Next i</t>
  </si>
  <si>
    <t xml:space="preserve">            ws.Cells(r, "G").Value = res</t>
  </si>
  <si>
    <t xml:space="preserve">            ws.Cells(r, "G").WrapText = True ' セル内改行を表示</t>
  </si>
  <si>
    <t xml:space="preserve">        End If</t>
  </si>
  <si>
    <t xml:space="preserve">    Next r</t>
  </si>
  <si>
    <t xml:space="preserve">    Application.ScreenUpdating = True</t>
  </si>
  <si>
    <t xml:space="preserve">    MsgBox "整形完了しました！", vbInformation</t>
  </si>
  <si>
    <t>End Sub</t>
  </si>
  <si>
    <t>■VBA（改行）</t>
    <rPh sb="5" eb="7">
      <t>カイギョウ</t>
    </rPh>
    <phoneticPr fontId="2"/>
  </si>
  <si>
    <t>ストーリー</t>
  </si>
  <si>
    <t>スピーチ</t>
  </si>
  <si>
    <t>◎自分の家族について話してください。</t>
    <rPh sb="1" eb="3">
      <t>ジf</t>
    </rPh>
    <rPh sb="4" eb="6">
      <t>カゾク</t>
    </rPh>
    <rPh sb="10" eb="11">
      <t>ハナ</t>
    </rPh>
    <phoneticPr fontId="2"/>
  </si>
  <si>
    <t>◎1年間の思い出を話してください。</t>
    <rPh sb="2" eb="4">
      <t>ネンカン</t>
    </rPh>
    <rPh sb="5" eb="6">
      <t>オモ</t>
    </rPh>
    <rPh sb="7" eb="8">
      <t>デ</t>
    </rPh>
    <rPh sb="9" eb="10">
      <t>ハナ</t>
    </rPh>
    <phoneticPr fontId="2"/>
  </si>
  <si>
    <t>◎あなたの暮らしているところ（地域）について自由に話してください。</t>
    <rPh sb="5" eb="6">
      <t>ク</t>
    </rPh>
    <rPh sb="15" eb="17">
      <t>チイキ</t>
    </rPh>
    <rPh sb="22" eb="24">
      <t>ジユウ</t>
    </rPh>
    <rPh sb="25" eb="26">
      <t>ハナ</t>
    </rPh>
    <phoneticPr fontId="2"/>
  </si>
  <si>
    <t>◎思い出に残る旅行、またはこれからしてみたい旅行について話してください。</t>
    <rPh sb="1" eb="2">
      <t>オモ</t>
    </rPh>
    <rPh sb="3" eb="4">
      <t>デ</t>
    </rPh>
    <rPh sb="5" eb="6">
      <t>ノコ</t>
    </rPh>
    <rPh sb="7" eb="9">
      <t>リョコウ</t>
    </rPh>
    <rPh sb="22" eb="24">
      <t>リョコウ</t>
    </rPh>
    <rPh sb="28" eb="29">
      <t>ハナ</t>
    </rPh>
    <phoneticPr fontId="2"/>
  </si>
  <si>
    <t>◎きこえない人や手話について、周りの人に話すとしたらどんなことを話しますか。</t>
    <rPh sb="6" eb="7">
      <t>r</t>
    </rPh>
    <rPh sb="8" eb="10">
      <t>シ;</t>
    </rPh>
    <rPh sb="15" eb="16">
      <t>マワ</t>
    </rPh>
    <rPh sb="18" eb="19">
      <t>r</t>
    </rPh>
    <rPh sb="20" eb="21">
      <t>ハナ</t>
    </rPh>
    <rPh sb="32" eb="33">
      <t>ハナ</t>
    </rPh>
    <phoneticPr fontId="2"/>
  </si>
  <si>
    <t>◎あなたが関心のある最近のニュースについて話してください。</t>
    <rPh sb="5" eb="7">
      <t>カンシン</t>
    </rPh>
    <rPh sb="10" eb="12">
      <t>サイキン</t>
    </rPh>
    <rPh sb="21" eb="22">
      <t>ハナ</t>
    </rPh>
    <phoneticPr fontId="2"/>
  </si>
  <si>
    <t>恐らく指文字「オ」あるいは英語の「O」と海を合体させた表現。</t>
    <rPh sb="0" eb="1">
      <t>オソ</t>
    </rPh>
    <rPh sb="3" eb="6">
      <t>ユビモジ</t>
    </rPh>
    <rPh sb="13" eb="15">
      <t>エイゴ</t>
    </rPh>
    <rPh sb="20" eb="21">
      <t>ウミ</t>
    </rPh>
    <rPh sb="22" eb="24">
      <t>ガッタイ</t>
    </rPh>
    <rPh sb="27" eb="29">
      <t>ヒ;</t>
    </rPh>
    <phoneticPr fontId="2"/>
  </si>
  <si>
    <t>法の上の法という意味で憲法。ちなみに法という手話自体は裁判長が持っている木槌（ガベル）を表すらしい。</t>
    <rPh sb="0" eb="1">
      <t>ホウ</t>
    </rPh>
    <rPh sb="2" eb="3">
      <t>ウエ</t>
    </rPh>
    <rPh sb="4" eb="5">
      <t>ホウ</t>
    </rPh>
    <rPh sb="8" eb="10">
      <t>イミ</t>
    </rPh>
    <rPh sb="11" eb="13">
      <t>ケンポウ</t>
    </rPh>
    <rPh sb="18" eb="19">
      <t>ホウ</t>
    </rPh>
    <rPh sb="22" eb="24">
      <t>シュワ</t>
    </rPh>
    <rPh sb="24" eb="26">
      <t>ジタイ</t>
    </rPh>
    <rPh sb="27" eb="30">
      <t>サイバンチョウ</t>
    </rPh>
    <rPh sb="31" eb="32">
      <t>モ</t>
    </rPh>
    <rPh sb="36" eb="38">
      <t>キヅチ</t>
    </rPh>
    <rPh sb="44" eb="45">
      <t>アラワ</t>
    </rPh>
    <phoneticPr fontId="2"/>
  </si>
  <si>
    <t>目を細かく動かすイメージ。第2関節で折り曲げた手の形が案外大事。</t>
    <rPh sb="0" eb="1">
      <t>メ</t>
    </rPh>
    <rPh sb="2" eb="3">
      <t>コマ</t>
    </rPh>
    <rPh sb="5" eb="6">
      <t>ウゴ</t>
    </rPh>
    <rPh sb="13" eb="14">
      <t>ダイ</t>
    </rPh>
    <rPh sb="15" eb="17">
      <t>カンセツ</t>
    </rPh>
    <rPh sb="18" eb="19">
      <t>オ</t>
    </rPh>
    <rPh sb="20" eb="21">
      <t>マ</t>
    </rPh>
    <rPh sb="23" eb="24">
      <t>テ</t>
    </rPh>
    <rPh sb="25" eb="26">
      <t>sh</t>
    </rPh>
    <rPh sb="27" eb="31">
      <t>アンガイダイジ</t>
    </rPh>
    <phoneticPr fontId="2"/>
  </si>
  <si>
    <t>3本指は「参」の字にある3本線を表しているようだ。</t>
    <rPh sb="1" eb="3">
      <t>ホンユビ</t>
    </rPh>
    <rPh sb="5" eb="6">
      <t>サン</t>
    </rPh>
    <rPh sb="8" eb="9">
      <t>ジ</t>
    </rPh>
    <rPh sb="13" eb="15">
      <t>ホンセン</t>
    </rPh>
    <rPh sb="16" eb="17">
      <t>アラワ</t>
    </rPh>
    <phoneticPr fontId="2"/>
  </si>
  <si>
    <t>1. トラ
2. ネコ
3. ライオン
4. サル</t>
    <phoneticPr fontId="2"/>
  </si>
  <si>
    <t>1. 学校
2. 会社
3. 市役所
4. 銀行</t>
    <phoneticPr fontId="2"/>
  </si>
  <si>
    <t>1. ズボン
2. スカート
3. シャツ
4. 帽子</t>
    <phoneticPr fontId="2"/>
  </si>
  <si>
    <t>1. 歩く
2. 寝る
3. 探す
4. 守る</t>
    <phoneticPr fontId="2"/>
  </si>
  <si>
    <t>1. バス
2. 電車
3. エレベーター
4. ロープウェイ</t>
    <phoneticPr fontId="2"/>
  </si>
  <si>
    <t>1. カバン
2. 時計
3. 財布
4. ペン</t>
    <phoneticPr fontId="2"/>
  </si>
  <si>
    <t>1. くつ
2. ぼうし
3. シャツ
4. スカーフ</t>
    <phoneticPr fontId="2"/>
  </si>
  <si>
    <t>1. 広い
2. 狭い
3. 広がる
4. 集まる</t>
    <phoneticPr fontId="2"/>
  </si>
  <si>
    <t>1. 一流
2. 三流
3. 上流
4. 下流</t>
    <phoneticPr fontId="2"/>
  </si>
  <si>
    <t>1. 山
2. キャンプ
3. 海
4. 川</t>
    <phoneticPr fontId="2"/>
  </si>
  <si>
    <t>1. 通院
2. 外出
3. 勉強
4. 入院</t>
    <phoneticPr fontId="2"/>
  </si>
  <si>
    <t>1. すまい
2. まち
3. しごと
4. せまい</t>
    <phoneticPr fontId="2"/>
  </si>
  <si>
    <t>1. 少し前
2. しばらく
3. この前
4. さきほど</t>
    <phoneticPr fontId="2"/>
  </si>
  <si>
    <t>1. 週末
2. 毎日
3. 平日
4. 毎月</t>
    <phoneticPr fontId="2"/>
  </si>
  <si>
    <t>1. 家
2. アパート
3. マンション
4. ホテル</t>
    <phoneticPr fontId="2"/>
  </si>
  <si>
    <t>1. 花
2. 木
3. 草
4. バラ</t>
    <phoneticPr fontId="2"/>
  </si>
  <si>
    <t>1. 酒
2. 水
3. コーヒー
4. ジュース</t>
    <phoneticPr fontId="2"/>
  </si>
  <si>
    <t>1. ハンカチ
2. タオル
3. 服
4. ぼうし</t>
    <phoneticPr fontId="2"/>
  </si>
  <si>
    <t>1. 今年
2. 去年
3. 来週
4. 来年</t>
    <phoneticPr fontId="2"/>
  </si>
  <si>
    <t>1. 静か
2. うるさい
3. にぎやか
4. 明るい</t>
    <phoneticPr fontId="2"/>
  </si>
  <si>
    <t>1. 渡す
2. 返る
3. 送る
4. 借りる</t>
    <phoneticPr fontId="2"/>
  </si>
  <si>
    <t>1. ぶどう
2. りんご
3. みかん
4. なし</t>
    <phoneticPr fontId="2"/>
  </si>
  <si>
    <t>1. 動物園
2. 水族館
3. 博物館
4. 美術館</t>
    <phoneticPr fontId="2"/>
  </si>
  <si>
    <t>1. 優しさ
2. 思いやり
3. 愛
4. 気持ち</t>
    <phoneticPr fontId="2"/>
  </si>
  <si>
    <t>1. 読話（する）
2. 発表
3. 会話
4. 言語</t>
    <phoneticPr fontId="2"/>
  </si>
  <si>
    <t>1. しょうゆ
2. みそ
3. ソース
4. 塩</t>
    <phoneticPr fontId="2"/>
  </si>
  <si>
    <t>1. 額（ほお）
2. 耳
3. 鼻
4. 首</t>
    <phoneticPr fontId="2"/>
  </si>
  <si>
    <t>1. 西海
2. 南海
3. 東海
4. 北海</t>
    <phoneticPr fontId="2"/>
  </si>
  <si>
    <t>1. 喜び
2. 悲しみ
3. 苦しみ
4. 悩み</t>
    <phoneticPr fontId="2"/>
  </si>
  <si>
    <t>1. 固い
2. 厳しい
3. かたい
4. 柔らかい</t>
    <phoneticPr fontId="2"/>
  </si>
  <si>
    <t>1. 歴史
2. 文化
3. 科学
4. 政治</t>
    <phoneticPr fontId="2"/>
  </si>
  <si>
    <t>1. ライバル
2. 友達
3. 仲間
4. 敵</t>
    <phoneticPr fontId="2"/>
  </si>
  <si>
    <t>1. 天ぷら
2. すし
3. うどん
4. そば</t>
    <phoneticPr fontId="2"/>
  </si>
  <si>
    <t>1. 苦しい
2. 悲しい
3. 痛い
4. 怖い</t>
    <phoneticPr fontId="2"/>
  </si>
  <si>
    <t>1. ごま
2. 塩
3. しょうゆ
4. 味噌</t>
    <phoneticPr fontId="2"/>
  </si>
  <si>
    <t>1. 発表会
2. 会議
3. 講義
4. 集会</t>
    <phoneticPr fontId="2"/>
  </si>
  <si>
    <t>1. 延長（する）
2. 開始
3. 短縮
4. 中止</t>
    <phoneticPr fontId="2"/>
  </si>
  <si>
    <t>1. 顔
2. 髪
3. 目
4. 手</t>
    <phoneticPr fontId="2"/>
  </si>
  <si>
    <t>1. 退学
2. 卒業
3. 入学
4. 休学</t>
    <phoneticPr fontId="2"/>
  </si>
  <si>
    <t>1. なめこ
2. しいたけ
3. まつたけ
4. えのき</t>
    <phoneticPr fontId="2"/>
  </si>
  <si>
    <t>1. 人工内耳
2. 補聴器
3. 聴診器
4. イヤホン</t>
    <phoneticPr fontId="2"/>
  </si>
  <si>
    <t>1. 空気
2. 周囲
3. 雰囲気
4. 環境</t>
    <phoneticPr fontId="2"/>
  </si>
  <si>
    <t>1. 感染
2. アレルギー
3. 疲労
4. 病気</t>
    <phoneticPr fontId="2"/>
  </si>
  <si>
    <t>1. 感染
2. 発熱
3. 病気
4. 流行</t>
    <phoneticPr fontId="2"/>
  </si>
  <si>
    <t>1. 判断
2. 評価
3. 意見
4. 評判</t>
    <phoneticPr fontId="2"/>
  </si>
  <si>
    <t>1. 新聞
2. 情報
3. 報道
4. マスコミ</t>
    <phoneticPr fontId="2"/>
  </si>
  <si>
    <t>1. 書籍
2. 言語
3. 会話
4. 論文</t>
    <phoneticPr fontId="2"/>
  </si>
  <si>
    <t>1. 細菌
2. ウイルス
3. 微生物
4. 感染</t>
    <phoneticPr fontId="2"/>
  </si>
  <si>
    <t>1. 原因
2. 理由
3. 基盤
4. 根拠</t>
    <phoneticPr fontId="2"/>
  </si>
  <si>
    <t>1. 財政
2. 税金
3. 経済
4. 国庫</t>
    <phoneticPr fontId="2"/>
  </si>
  <si>
    <t>問題文中で、自己紹介している人物の苗字はなんですか。</t>
  </si>
  <si>
    <t>「私の家」はどこの隣にありますか。</t>
  </si>
  <si>
    <t>私の家はラーメン屋のとなりです。</t>
  </si>
  <si>
    <t>家族構成で、文に挙げられているのは誰と誰ですか。</t>
  </si>
  <si>
    <t>息子が見るのが好きなものは何ですか。</t>
  </si>
  <si>
    <t>息子は動物を見るのが好きです。</t>
  </si>
  <si>
    <t>息子は平成何年生まれですか。</t>
  </si>
  <si>
    <t>息子は平成21年8月10日生まれです。</t>
  </si>
  <si>
    <t>妻の職業は何ですか。</t>
  </si>
  <si>
    <t>妻の仕事は中学校の先生です。</t>
  </si>
  <si>
    <t>妻はおやつ作りについてどう感じていますか。</t>
  </si>
  <si>
    <t>妻は友達とおやつ作りが楽しいと言っています。</t>
  </si>
  <si>
    <t>父の趣味は何ですか。</t>
  </si>
  <si>
    <t>父は川づりがしゅみで朝早くに行きます。</t>
  </si>
  <si>
    <t>妹はどこで結婚式をしましたか。</t>
  </si>
  <si>
    <t>妹は春につくば市で結婚式をしました。</t>
  </si>
  <si>
    <t>私はいつバスケットボールの練習をしますか。</t>
  </si>
  <si>
    <t>私は日曜日バスケットボールの練習をします。</t>
  </si>
  <si>
    <t>1. 本屋
2. スーパー
3. 学校
4. ラーメン屋</t>
    <phoneticPr fontId="2"/>
  </si>
  <si>
    <t>1. 映画
2. 花火
3. 鳥
4. 動物</t>
    <phoneticPr fontId="2"/>
  </si>
  <si>
    <t>1. 19
2. 20
3. 21
4. 22</t>
    <phoneticPr fontId="2"/>
  </si>
  <si>
    <t>1. 先生
2. 事務員
3. 看護師
4. 料理人</t>
    <phoneticPr fontId="2"/>
  </si>
  <si>
    <t>1. 楽しい
2. 難しい
3. 退屈
4. 面倒</t>
    <phoneticPr fontId="2"/>
  </si>
  <si>
    <t>1. ジョギング
2. 読書
3. 川づり
4. ドライブ</t>
    <phoneticPr fontId="2"/>
  </si>
  <si>
    <t>1. 札幌市
2. 水戸市
3. 東京
4. つくば市</t>
    <phoneticPr fontId="2"/>
  </si>
  <si>
    <t>1. 月曜日
2. 土曜日
3. 祝日
4. 日曜日</t>
    <phoneticPr fontId="2"/>
  </si>
  <si>
    <t>1. たろう
2. 林
3. 田中
4. 林田</t>
    <rPh sb="10" eb="11">
      <t>ハヤシ</t>
    </rPh>
    <phoneticPr fontId="2"/>
  </si>
  <si>
    <t>私は林田たろうです。</t>
    <phoneticPr fontId="2"/>
  </si>
  <si>
    <t>1. 夫と娘
2. 妻と娘
3. 祖父母
4. 父と母</t>
    <rPh sb="12" eb="13">
      <t>ムスメ</t>
    </rPh>
    <phoneticPr fontId="2"/>
  </si>
  <si>
    <t>家族は妻と娘の3人です。</t>
    <rPh sb="5" eb="6">
      <t>ムスメ</t>
    </rPh>
    <phoneticPr fontId="2"/>
  </si>
  <si>
    <t>毎日夕方のあと、何時から散歩をしますか。</t>
  </si>
  <si>
    <t>週末に娘や友達と一緒にバーベキューをします。焼きそばに肉と何を入れたいですか。</t>
  </si>
  <si>
    <t>昨年の春、引っ越しました。今年の春、理容店のとなりに何ができましたか。</t>
  </si>
  <si>
    <t>昨年の春、引っ越しました。今年の春、理容店のとなりにレストランができました。</t>
  </si>
  <si>
    <t>休日の日に参拝した場所はどこですか。</t>
  </si>
  <si>
    <t>休日の日は夫婦でお寺と神社をお参りします。帰りにあじさいやコスモスを見ました。</t>
  </si>
  <si>
    <t>11月の連休はどこへ行きましたか。</t>
  </si>
  <si>
    <t>息子は高校で何をしていましたか。</t>
  </si>
  <si>
    <t>息子は高校ではサーフィンをしていました。新潟大会では二位でした。残念。</t>
  </si>
  <si>
    <t>町内会の行事が年2回あります。古い新聞を集めるのと、湖の近くの運動に行く計画を考えるのが大変でした。</t>
  </si>
  <si>
    <t>町内会の行事をした感想についてどういっていますか。</t>
    <rPh sb="9" eb="11">
      <t>カンソウ</t>
    </rPh>
    <phoneticPr fontId="2"/>
  </si>
  <si>
    <t>息子の仕事は何ですか。</t>
    <rPh sb="0" eb="2">
      <t>ムスコ</t>
    </rPh>
    <phoneticPr fontId="2"/>
  </si>
  <si>
    <t>息子の仕事は介護です。週休2日ですが土日もお正月も仕事で初詣に行けません。</t>
    <rPh sb="0" eb="2">
      <t>ムスコ</t>
    </rPh>
    <phoneticPr fontId="2"/>
  </si>
  <si>
    <t>息子は何を目標に陸上競技の練習をしていますか。</t>
  </si>
  <si>
    <t>息子は優勝を目標に陸上競技の練習をしています。試合のときは家族で応援に行きます。</t>
  </si>
  <si>
    <t>息子が練習しているスポーツは何ですか。</t>
  </si>
  <si>
    <t>大学で絵を学びました。ふくろうの絵が得意です。文化祭に申し込んだら、賞状をもらいました。</t>
  </si>
  <si>
    <t>絵を出品したのは何のイベントですか。</t>
  </si>
  <si>
    <t>青森で観光したのは誰とですか。</t>
  </si>
  <si>
    <t>お鍋に入っていた具材の一つは何ですか。</t>
  </si>
  <si>
    <t>仕事仲間と一緒に参加した会合の名前は何ですか。</t>
  </si>
  <si>
    <t>仕事仲間と一緒にモラルの講習会に参加しました。ハラスメントやトラブルなど非常識なことがたくさんあることがわかりました。</t>
  </si>
  <si>
    <t>母は何の病気で通院していますか。</t>
  </si>
  <si>
    <t>母は心臓病で月1回通院しています。今月は結果を聞くので夫が付き添います。</t>
  </si>
  <si>
    <t>川崎で行われる交流の種目は何ですか。</t>
  </si>
  <si>
    <t>今度、川崎でフットサルの交流があります。お弁当を配るボランティアを頼まれたので、手伝います。</t>
  </si>
  <si>
    <t>1. 6時から
2. 7時から
3. 8時から
4. 9時から</t>
    <phoneticPr fontId="2"/>
  </si>
  <si>
    <t>1. たまご
2. 野菜
3. エビ
4. イカ</t>
    <phoneticPr fontId="2"/>
  </si>
  <si>
    <t>1. 教師
2. 介護
3. 看護
4. 事務</t>
    <phoneticPr fontId="2"/>
  </si>
  <si>
    <t>1. 学校
2. スーパー
3. レストラン
4. 病院</t>
    <phoneticPr fontId="2"/>
  </si>
  <si>
    <t>1. 雨
2. 台風
3. 地震
4. 雪</t>
    <phoneticPr fontId="2"/>
  </si>
  <si>
    <t>1. 北海道
2. 東京
3. 長崎
4. 京都</t>
    <phoneticPr fontId="2"/>
  </si>
  <si>
    <t>1. 月曜日
2. 火曜日
3. 水曜日
4. 木曜日</t>
    <phoneticPr fontId="2"/>
  </si>
  <si>
    <t>1. 野球
2. サーフィン
3. サッカー
4. 水泳</t>
    <phoneticPr fontId="2"/>
  </si>
  <si>
    <t>1. 掃除
2. 料理
3. 大変
4. 楽しい</t>
    <phoneticPr fontId="2"/>
  </si>
  <si>
    <t>1. 健康
2. 入賞
3. 記録
4. 優勝</t>
    <phoneticPr fontId="2"/>
  </si>
  <si>
    <t>1. サッカー
2. 陸上競技
3. 水泳
4. 野球</t>
    <phoneticPr fontId="2"/>
  </si>
  <si>
    <t>1. ネコ
2. 鳥
3. ふくろう
4. 犬</t>
    <phoneticPr fontId="2"/>
  </si>
  <si>
    <t>1. 文化祭
2. 美術展
3. 学園祭
4. 発表会</t>
    <phoneticPr fontId="2"/>
  </si>
  <si>
    <t>1. 家族
2. 職場の同僚
3. 同窓会
4. 友達</t>
    <phoneticPr fontId="2"/>
  </si>
  <si>
    <t>1. さといも
2. にんじん
3. 大根
4. かぼちゃ</t>
    <phoneticPr fontId="2"/>
  </si>
  <si>
    <t>1. 会議
2. 研修会
3. モラル
4. 勉強会</t>
    <phoneticPr fontId="2"/>
  </si>
  <si>
    <t>1. 音楽
2. 数学
3. 体育
4. 理科</t>
    <phoneticPr fontId="2"/>
  </si>
  <si>
    <t>1. 生徒
2. 校長
3. 両親
4. 教頭</t>
    <phoneticPr fontId="2"/>
  </si>
  <si>
    <t>1. 糖尿病
2. 腎臓病
3. 心臓
4. 肝臓</t>
    <phoneticPr fontId="2"/>
  </si>
  <si>
    <t>1. 娘
2. 息子
3. 夫
4. 妻</t>
    <phoneticPr fontId="2"/>
  </si>
  <si>
    <t>1. バスケットボール
2. サッカー
3. テニス
4. フットサル</t>
    <phoneticPr fontId="2"/>
  </si>
  <si>
    <t>1. 会場準備
2. お弁当配り
3. 写真撮影
4. 清掃</t>
    <phoneticPr fontId="2"/>
  </si>
  <si>
    <t>妹は中学校で何の教師ですか。</t>
    <rPh sb="0" eb="1">
      <t>イモウト</t>
    </rPh>
    <phoneticPr fontId="2"/>
  </si>
  <si>
    <t>妹は中学校の体育の教師です。担任や両親と、部活動の今後について相談します。</t>
    <rPh sb="0" eb="1">
      <t>イモウト</t>
    </rPh>
    <phoneticPr fontId="2"/>
  </si>
  <si>
    <t>今度、川崎でフットサルの交流があります。お弁当を配るボランティアを頼まれたので、手伝います。</t>
    <phoneticPr fontId="2"/>
  </si>
  <si>
    <t>部活動の今後について妹が相談した相手の一人は誰ですか。</t>
    <rPh sb="10" eb="11">
      <t>イモウト</t>
    </rPh>
    <phoneticPr fontId="2"/>
  </si>
  <si>
    <t>得意なのは何の絵ですか。</t>
    <rPh sb="0" eb="2">
      <t>トクイ</t>
    </rPh>
    <rPh sb="5" eb="6">
      <t>ナン</t>
    </rPh>
    <rPh sb="7" eb="8">
      <t>エ</t>
    </rPh>
    <phoneticPr fontId="2"/>
  </si>
  <si>
    <t>今月母の通院に付き添ったのは誰ですか。</t>
    <phoneticPr fontId="2"/>
  </si>
  <si>
    <t>交流のときに頼まれたことは何ですか。</t>
    <phoneticPr fontId="2"/>
  </si>
  <si>
    <t>私は以前どんな仕事をしていましたか。</t>
  </si>
  <si>
    <t>今はどこで働いていますか。</t>
  </si>
  <si>
    <t>私の好きな仕事は何ですか。</t>
  </si>
  <si>
    <t>小学校低学年のころ、私はどこに通っていましたか。</t>
  </si>
  <si>
    <t>私は難聴でしたが、近くの小学校に通っていました。しかし、小学3年の春ごろから急に聴力が低下し、4年の途中から遠くのろう学校に転校しました。ろう学校に入って生活が一変しましたが、クラスの友達や先輩から手話を教えてもらいながら、楽しい学校生活を送りました。</t>
  </si>
  <si>
    <t>聴力が低下したのはいつごろですか。</t>
  </si>
  <si>
    <t>ろう学校で手話を教えてくれたのは誰ですか。</t>
  </si>
  <si>
    <t>私には前から思いのひとがいます。その彼とデートが決まってうれしいです。でも、今まではおしゃれに関心がなく、慌てて新しいワンピースとイヤリングを買いました。前の日の夜緊張して寝つけなかったので、当日は映画館に行って見ているうちに寝てしまいました。だからもう連絡がないかもと落ち込んでいましたが、連絡がありうれしかったです。</t>
  </si>
  <si>
    <t>デートの前の日に私はどうして寝つけませんでしたか。</t>
  </si>
  <si>
    <t>デート当日に映画館でどうなりましたか。</t>
  </si>
  <si>
    <t>防災研修の講演で私は何の手話を教えますか。</t>
  </si>
  <si>
    <t>地域の防災研修で講演をするときは、「地震」「津波だ！」「あっちに逃げろ！」の手話を覚えてもらうようにしています。ろう者は見た目では聞こえないことがわかりにくいからです。災害時、声と一緒に手話で表してくれたらろう者は早く逃げられます。</t>
  </si>
  <si>
    <t>ろう者が聞こえないことがわかりにくい理由は何ですか。</t>
  </si>
  <si>
    <t>災害時にろう者が早く逃げられるのはどんなときですか。</t>
  </si>
  <si>
    <t>手話サークルの運営について、秋に開催予定のものは何ですか。</t>
  </si>
  <si>
    <t>手話サークルの運営について役員会で打ち合わせをしました。秋に手話についてのフォーラムを開催する予定です。会議が終わったあとは、すき焼きの店で宴会をしました。焼酎やウィスキーを飲んで、費用は割り勘で4000円でした。</t>
  </si>
  <si>
    <t>会議の後に行ったお店は何でしたか。</t>
  </si>
  <si>
    <t>宴会の費用はどのように支払いましたか。</t>
  </si>
  <si>
    <t>今年の3月、ろう学校の卒業式に出席した時におどろいた。校歌斉唱、校長の祝辞、卒業生の答辞まで全てに手話があった。自分の時は口話で手話はなかった。校長の祝辞や後輩の送辞の話の内容がわからないまま、式の間中たいくつだった。</t>
  </si>
  <si>
    <t>卒業式で、校歌斉唱や校長の祝辞、答辞などで使われていたのは何ですか。</t>
  </si>
  <si>
    <t>自分が在学中の式の間中たいくつだった理由は何ですか。</t>
  </si>
  <si>
    <t>私の趣味は何ですか。</t>
  </si>
  <si>
    <t>私の趣味はスポーツ観戦で、特に野球が好きです。最近、アメリカでの日本人選手の活躍は素晴らしいです。大谷翔平、ダルビッシュ有などです。私は大谷選手のファンで、テレビを見ながらビールを飲むのが一番の楽しみです。将来、デフリンピックでも野球が競技として採用されるといいなと思います。</t>
  </si>
  <si>
    <t>私が特に好きなスポーツ選手は誰ですか。</t>
  </si>
  <si>
    <t>将来、デフリンピックで採用されるといいなと思っている競技は何ですか。</t>
  </si>
  <si>
    <t>私はどのような活動をしていると述べていますか？</t>
  </si>
  <si>
    <t>私はどのような文化財を手話で解説していると述べていますか？</t>
  </si>
  <si>
    <t>この人にとってボランティア活動はどのような存在ですか？</t>
  </si>
  <si>
    <t>どの果物について私は言及していますか？</t>
  </si>
  <si>
    <t>以前私はどのような病気で病院にかかったと述べていますか？</t>
  </si>
  <si>
    <t>この人が今後気をつけたいと述べているのは何ですか？</t>
  </si>
  <si>
    <t>私が参加したのはどの教室ですか？</t>
  </si>
  <si>
    <t>少し前に、社会福祉協議会が企画したバランスボール教室に参加しました。時間は1時間でしたが、とても楽しくてあっという間に終わってしまいました。今は手話サークルの友達と一緒に毎週水曜日に通っています。バランスボールは、膝や関節に負担がなくできます。体幹を鍛えることができ、背中をまっすぐにすることもできます。</t>
  </si>
  <si>
    <t>バランスボール教室を企画したのはどこですか？</t>
  </si>
  <si>
    <t>バランスボールで鍛えられると説明されているのは何ですか？</t>
  </si>
  <si>
    <t>私が行きたいと思っていた国はどこですか？</t>
  </si>
  <si>
    <t>5月の連休のとき、前から行きたいと思っていた外国へ旅行に行きました。1ドル150円以上の円安が続いていたため、スペインに行きたいと考えていたけれど、費用が高くついてしまう。思い切って、東南アジアの国々に注目してツアー会社を調べ、タイとベトナムを選びました。日本と共通する文化に親しみを感じ、全く違う文化も学び、十分に視野を広げることができました。</t>
  </si>
  <si>
    <t>東南アジア旅行を決める際に利用したのは何ですか？</t>
  </si>
  <si>
    <t>この旅行で得られたことは何ですか？</t>
  </si>
  <si>
    <t>父が診断された病気は何ですか？</t>
  </si>
  <si>
    <t>私の父は、最近物忘れが多くなりました。本人も「認知症か」と気にしていたので、病院に行って診察を受けました。検査の結果、アルツハイマー病と診断されました。体力の衰えも進んでいます。一人暮らしの父を家族だけで支援するには限界があります。来週、市役所に行って、介護保険の手続きをしたいと思います。</t>
  </si>
  <si>
    <t>一人暮らしの父を家族だけで支援するにはどうか？</t>
  </si>
  <si>
    <t>来週予定している行動は何ですか？</t>
  </si>
  <si>
    <t>お金では買えないと思った経験は何ですか？</t>
  </si>
  <si>
    <t>どんな方法でアルバイトを探そうとしましたか？</t>
  </si>
  <si>
    <t>講演会を依頼したのは誰ですか？</t>
  </si>
  <si>
    <t>講演で確認の必要性が強調されたのは何ですか？</t>
  </si>
  <si>
    <t>1. コンビニ
2. 介護施設
3. 大学
4. 市役所</t>
    <phoneticPr fontId="2"/>
  </si>
  <si>
    <t>1. 遠くのろう学校
2. 塾
3. 近くの小学校
4. 私立学校</t>
    <phoneticPr fontId="2"/>
  </si>
  <si>
    <t>1. 小学1年
2. 小学3年の春ごろ
3. 中学1年
4. 高校生</t>
    <phoneticPr fontId="2"/>
  </si>
  <si>
    <t>1. 先輩
2. 先生
3. 家族
4. 医師</t>
    <phoneticPr fontId="2"/>
  </si>
  <si>
    <t>1. 緊張で寝つけなかった
2. 勉強していた
3. 仕事が忙しかった
4. 病気だった</t>
    <phoneticPr fontId="2"/>
  </si>
  <si>
    <t>1. 声と一緒に手話で表してくれたとき
2. 警報が鳴ったとき
3. 消防車が来たとき
4. サイレンが鳴ったとき</t>
    <phoneticPr fontId="2"/>
  </si>
  <si>
    <t>1. すき焼き
2. レストラン
3. カフェ
4. 居酒屋</t>
    <phoneticPr fontId="2"/>
  </si>
  <si>
    <t>1. 手話
2. 字幕
3. 英語
4. 音楽</t>
    <phoneticPr fontId="2"/>
  </si>
  <si>
    <t>1. 内容がわからないままだったから
2. 眠かったから
3. 難しい話だったから
4. 長すぎたから</t>
    <phoneticPr fontId="2"/>
  </si>
  <si>
    <t>1. スポーツ観戦
2. 音楽鑑賞
3. 読書
4. 旅行</t>
    <phoneticPr fontId="2"/>
  </si>
  <si>
    <t>1. 錦織圭
2. 大谷翔平
3. 本田圭佑
4. ダルビッシュ有</t>
    <phoneticPr fontId="2"/>
  </si>
  <si>
    <t>1. 生きがいである
2. 貴重な経験である
3. 趣味の一つである
4. 社会貢献の一環である</t>
    <phoneticPr fontId="2"/>
  </si>
  <si>
    <t>1. ミカン
2. リンゴ
3. グレープフルーツ
4. バナナ</t>
    <phoneticPr fontId="2"/>
  </si>
  <si>
    <t>1. 高血圧
2. 胃潰瘍
3. 糖尿病
4. 心臓病</t>
    <phoneticPr fontId="2"/>
  </si>
  <si>
    <t>1. バランスボール教室
2. ヨガ教室
3. 水泳教室
4. 英会話教室</t>
    <phoneticPr fontId="2"/>
  </si>
  <si>
    <t>1. 市役所
2. 手話サークル
3. 学校
4. 社会福祉協議会</t>
    <phoneticPr fontId="2"/>
  </si>
  <si>
    <t>1. 体幹
2. 足腰
3. 心肺機能
4. 柔軟性</t>
    <phoneticPr fontId="2"/>
  </si>
  <si>
    <t>1. スペイン
2. フランス
3. イタリア
4. ドイツ</t>
    <phoneticPr fontId="2"/>
  </si>
  <si>
    <t>1. インターネット掲示板
2. 知人の紹介
3. ガイドブック
4. ツアー会社を調べて決めた</t>
    <phoneticPr fontId="2"/>
  </si>
  <si>
    <t>1. 視野を広げることができた
2. 新しい友人ができた
3. 言語を習得できた
4. ビジネスの経験を積めた</t>
    <phoneticPr fontId="2"/>
  </si>
  <si>
    <t>1. 糖尿病
2. 高血圧
3. アルツハイマー病
4. 心臓病</t>
    <phoneticPr fontId="2"/>
  </si>
  <si>
    <t>1. 容易である
2. 限界がある
3. 全く必要ない
4. 自治会が支援する</t>
    <phoneticPr fontId="2"/>
  </si>
  <si>
    <t>1. スマホアプリ 
2. 新聞の求人欄 
3. 学校の紹介 
4. 友人の紹介</t>
    <phoneticPr fontId="2"/>
  </si>
  <si>
    <t>1. 医師 
2. 教師 
3. 防災士 
4. 消防士</t>
    <phoneticPr fontId="2"/>
  </si>
  <si>
    <t>冬は毎週何曜日に手芸クラブに通っていますか。</t>
    <rPh sb="0" eb="1">
      <t>フユ</t>
    </rPh>
    <phoneticPr fontId="2"/>
  </si>
  <si>
    <t>冬は毎週木曜日手芸クラブに通っています。かばんを作るのが得意です。</t>
    <rPh sb="0" eb="1">
      <t>フユ</t>
    </rPh>
    <phoneticPr fontId="2"/>
  </si>
  <si>
    <t>4択問題</t>
  </si>
  <si>
    <t>きこえない・きこえにくい人ときこえる人との会話をオペレータが手話や文字、音声を使って電話通訳するサービスは何といいますか。</t>
  </si>
  <si>
    <t>電話リレーサービスは、聴覚障害者等による電話の利用の円滑化に関する法律（令和2年法律第53号）に基づいたサービスです。電話通訳ハローラインは、通訳オペレータを介して外国語（音声言語）を電話で通訳するサービスです。ショートメッセージサービスは、携帯電話等の電話番号を宛先にメッセージ（文字）のやりとりをするサービスで、略してSMSとも呼ばれています。多言語通訳サービスは、電話やテレビ電話などを介して、外国語などを通訳するサービスで、消防署などに導入されている例があります。</t>
  </si>
  <si>
    <t>1974（昭和49）年に発足し、2024（令和6）年6月に創立50周年を迎えた全国組織で、全日本ろうあ連盟と連携して手話通訳等について全国レベルでの研究・交流を行う団体は、何といいますか。</t>
  </si>
  <si>
    <t>全国社会福祉協議会は、都道府県や市町村にある社会福祉協議会の活動を支援するとともに、全国的に共通する福祉課題に対応するため、国への各種提言や調査研究、広報、人材育成などの事業を行っている団体です。全国手話通訳者会議は、1968（昭和43）年6月2日に第1回の会議が福島県で開催されており、まだ数も少なかった手話通訳者の語り合う場を設けるために始まりました。全国手話サークル連絡協議会は、2024（令和6）年現在、存在していませんが、都道府県や地域によっては手話サークル間の交流の場であったり、ろうあ団体とともに活動する団体として、連絡協議会などが結成されています。</t>
  </si>
  <si>
    <t>1986（昭和61）年に、全国のろう者が宿泊に集まって開催された大会は何ですか。</t>
  </si>
  <si>
    <t>1986（昭和61）年に岐阜県で開催された全国ろうあ関東研究会は、座談会が中心と呼ばれていました。はじめて大きな会となり、全国からろう者が宿泊に集まって開催されました。これが後に全国規模に広がり、現在の全国ろうあ関東研究会となっています。文化、労働、福祉、教育などの内容で、保健や生活全般に関する課題を話し合う場として大切な役割を果たしています。</t>
  </si>
  <si>
    <t>聴覚障害者が妊娠した場合、細牛の有用な感染経路や母体や胎児への影響で、電気信号（ウイルス）がきちんとうまく伝わらない状態を何といいますか。</t>
  </si>
  <si>
    <t>伝染性感染は、細牛の有用な感染経路や母体や胎児への影響で、電気信号がうまく伝わらない状態を指します。妊娠時に感染すると、胎児の発育や健康に大きな影響を及ぼすことがあります。特にウイルスや細菌による影響は重要であり、適切な管理と対応が必要です。</t>
  </si>
  <si>
    <t>身体障害者福祉法において、聴覚障害者が認定される級で、両耳の聴力レベルが70デシベル以上のものは何級に当たりますか。</t>
  </si>
  <si>
    <t>身体障害者福祉法の認定において、両耳の聴力レベルが70デシベル以上の聴覚障害者は「2級」とされています。なお、両耳の聴力レベルが100デシベル以上であれば1級に認定されます。音声言語を習得できない場合や発音機能に著しい障害がある場合は等級が上がることもあります。</t>
  </si>
  <si>
    <t>日本で最初のろう学校といわれているのはどこですか。</t>
  </si>
  <si>
    <t>1869（明治2）年、京都府立盲唖院が日本で初めて設立されたろう学校とされる。生活の場を提供するとともに、子どもたちに手話を教えながら読み書きを学ばせた。京都盲唖院は、後に京都府立聾学校と京都府立盲学校に分かれ、現在も存続している。</t>
  </si>
  <si>
    <t>「個人の心の問題」に障害の原因を帰す考え方であるモデルはどれですか。</t>
  </si>
  <si>
    <t>医学モデルは、障害を個人の心身機能の障害に起因すると考える立場である。一方、社会モデルは社会のバリアを原因とし、バリアフリーやノーマライゼーションの理念が広がってきた。</t>
  </si>
  <si>
    <t>国民の障害者に関する理解と関心を深めるために制定された障害者週間は、毎年何月に実施されていますか。</t>
  </si>
  <si>
    <t>障害者基本法（昭和45年法律第84号）に基づき、毎年12月3日から9日までを「障害者週間」と定めている。</t>
  </si>
  <si>
    <t>1963年に日本で最初の手話サークルといわれる「手話学習会みみずく」が設立されたのはどこですか。</t>
  </si>
  <si>
    <t>1963年、京都市で「京都市手話学習会みみずく」が結成された。ろう者と健聴者が「一緒に話したい」という思いから始まり、現在も活動を続けている。</t>
  </si>
  <si>
    <t>1987年に聴覚障害者と視覚障害者のための高等教育機関として設立された大学の現在の名称はどれですか。</t>
  </si>
  <si>
    <t>1978年に設置が検討され、1987年に聴覚障害者と視覚障害者のための高等教育機関として設立された。現在の名称は「筑波技術大学」である。</t>
  </si>
  <si>
    <t>聴覚障害者の主なコミュニケーション手段ではないものはどれですか。</t>
  </si>
  <si>
    <t>聴覚障害者の主なコミュニケーション手段には手話、筆談、指文字があり、点字は視覚障害者が用いるため該当しません。</t>
  </si>
  <si>
    <t>耳の構造は大きく分けて外耳、中耳、内耳、聴神経に分けられます。蝸牛はどの部位に当たりますか。</t>
  </si>
  <si>
    <t>蝸牛は内耳に含まれる器官で、音の振動を電気信号に変換する役割を持ちます。</t>
  </si>
  <si>
    <t>1969（昭和44）年に、標準手話の普及のため「わたしたちの手話」が発行されました。標準手話の普及についての記述のうち、正しいのはどれですか。</t>
  </si>
  <si>
    <t>「わたしたちの手話」は全国的に標準手話を普及させるために発行され、地域手話も尊重しつつ普及が進められました。</t>
  </si>
  <si>
    <t>2006（平成18）年12月に第6回国連総会で採択され、第2条の定義で「言語」とは音声言語及び手話その他の形態の非音声言語をいうと明記されたのはどれですか。</t>
  </si>
  <si>
    <t>障害者権利条約では「言語」に手話を含めることが明記され、国際的に手話が言語として認知されました。</t>
  </si>
  <si>
    <t>次の語のうち、両手の形が同じになる手話表現はどれですか。</t>
  </si>
  <si>
    <t>「アトラクション」は両手の人差し指を立て、顔の両脇でクルクルと同時に回す表現で、両手の形が同じになります。</t>
  </si>
  <si>
    <t>9月23日は1951年に世界ろう連盟（WFD）が設立された日に由来し、2017年に国連で「手話言語の国際デー」と定められました。</t>
  </si>
  <si>
    <t>毎年9月23日は青色のライトアップが行われることがあります。この日は何に由来しますか。</t>
    <rPh sb="8" eb="10">
      <t>アオイロ</t>
    </rPh>
    <rPh sb="18" eb="19">
      <t>g;</t>
    </rPh>
    <phoneticPr fontId="2"/>
  </si>
  <si>
    <t>音の大きさ（強さ）の単位はどれですか。</t>
  </si>
  <si>
    <t>音の大きさを表す単位はデシベル(dB)です。ワットは電力の単位、ヘルツは周波数、メートルは長さを表します。</t>
  </si>
  <si>
    <t>聴覚障害者のコミュニケーション手段について、正しいものはどれですか。</t>
  </si>
  <si>
    <t>聴覚障害者のコミュニケーションには手話・筆談・指文字・身振りなど多様な手段があります。個人差があるため一つの方法に限定することはできません。</t>
  </si>
  <si>
    <t>障害者基本法において、行政機関等や事業者に対して求めていることはどれですか。</t>
  </si>
  <si>
    <t>障害者基本法は、障害者に対する差別解消を求めています。合理的配慮の提供を含め、共生社会の実現を目指しています。</t>
  </si>
  <si>
    <t>2006年（平成18年）に手話言語研究所が設立された組織の名称はどれですか。</t>
  </si>
  <si>
    <t>2006年に設立されたのは「手話言語研究所」です。全国ろうあ連盟に設置され、手話の研究・普及に取り組んでいます。</t>
  </si>
  <si>
    <t>人工内耳に関する記述のうち、正しくないものはどれですか。</t>
  </si>
  <si>
    <t>人工内耳は手術後もリハビリテーションが必要です。外部装置と組み合わせて音を認識できるようになります。</t>
  </si>
  <si>
    <t>道路交通法で定められた「聴覚障害者標識（マーク）」はどれですか。</t>
  </si>
  <si>
    <t>聴覚障害者標識は緑と黄色のクローバー形のマークです。車に貼ることで周囲に配慮を促す役割を持ちます。</t>
  </si>
  <si>
    <t>1. 電話リレーサービス
2. 電話通訳ハローライン
3. ショートメッセージサービス
4. 多言語通訳サービス</t>
    <phoneticPr fontId="2"/>
  </si>
  <si>
    <t>1. 全国社会福祉協議会
2. 全国手話通訳問題研究会
3. 全国手話通訳者会議
4. 全国手話サークル連絡協議会</t>
    <phoneticPr fontId="2"/>
  </si>
  <si>
    <t>1. ろう教育を考える全国討論集会
2. 全国ろうあ青年大会
3. 全国ろうあ婦人大会
4. 全国ろうあ関東研究会</t>
    <phoneticPr fontId="2"/>
  </si>
  <si>
    <t>1. 伝染性感染
2. 感染性障害
3. 突発性難聴
4. 心因性難聴</t>
    <phoneticPr fontId="2"/>
  </si>
  <si>
    <t>1. 1級
2. 2級
3. 3級
4. 4級</t>
    <phoneticPr fontId="2"/>
  </si>
  <si>
    <t>1. 東京盲唖院
2. 京都盲唖院
3. 大阪盲唖院
4. 名古屋盲唖院</t>
    <phoneticPr fontId="2"/>
  </si>
  <si>
    <t>1. ノーマライゼーション
2. バリアフリー
3. 社会モデル
4. 医学モデル</t>
    <phoneticPr fontId="2"/>
  </si>
  <si>
    <t>1. 1月
2. 8月
3. 10月
4. 12月</t>
    <phoneticPr fontId="2"/>
  </si>
  <si>
    <t>1. 鳥取市
2. 札幌市
3. 福岡市
4. 京都市</t>
    <phoneticPr fontId="2"/>
  </si>
  <si>
    <t>1. 日本障害者福祉大学
2. 日本ろうあ者技術大学
3. 筑波技術大学
4. 筑波総合福祉大学</t>
    <phoneticPr fontId="2"/>
  </si>
  <si>
    <t>1. 手話
2. 筆談
3. 指文字
4. 点字</t>
    <phoneticPr fontId="2"/>
  </si>
  <si>
    <t>1. 外耳
2. 中耳
3. 内耳
4. 聴神経</t>
    <phoneticPr fontId="2"/>
  </si>
  <si>
    <t>1. 標準手話と地域の手話のどちらを使うかは地域のろう協会が決めた
2. 標準手話と地域の手話、どちらも尊重する方針で普及した
3. 地域の手話よりも標準手話を優先して普及した
4. 地域では地域の手話だけ使えばよいので、標準手話はあまり普及しなかった</t>
    <phoneticPr fontId="2"/>
  </si>
  <si>
    <t>1. 障害者基本法
2. 障害者差別解消法
3. 障害者権利条約
4. 障害者総合支援法</t>
    <phoneticPr fontId="2"/>
  </si>
  <si>
    <t>1. アルコール
2. アルバイト
3. アトラクション
4. アンケート</t>
    <phoneticPr fontId="2"/>
  </si>
  <si>
    <t>1. 手話言語の国際デー
2. 世界みみの日
3. 世界障害者デー
4. 国際ろうの日</t>
    <phoneticPr fontId="2"/>
  </si>
  <si>
    <t>1. ワット(W)　
2. ヘルツ(Hz)　
3. デシベル(dB)　
4. メートル(m)</t>
    <phoneticPr fontId="2"/>
  </si>
  <si>
    <t>1. 補聴器をつけていれば、耳もとでささやき声でも必ず伝わる　
2. 文字の読み書きが苦手な人もいるので、ひらがきだけで伝わる　
3. すべての人が手話を理解できる　
4. 手話、筆談、身振り、指文字など多様な手段がある</t>
    <phoneticPr fontId="2"/>
  </si>
  <si>
    <t>1. 障害者の差別解消　
2. 障害者の集団　
3. 合同授業の提供　
4. 手話は方言名であること</t>
    <phoneticPr fontId="2"/>
  </si>
  <si>
    <t>1. みなし手話研究所　
2. 手話言語研究所　
3. 全国耳研研究所　
4. 全国手話ラボ</t>
    <phoneticPr fontId="2"/>
  </si>
  <si>
    <t>1. 人工内耳は音声信号を電気信号に変えるスピーチプロセッサが必要である　
2. 人工内耳には外部装置が必要である　
3. 人工内耳はつけた後、リハビリテーションなどは必要ない　
4. 人工内耳は耳の奥に電極を埋め込む</t>
    <phoneticPr fontId="2"/>
  </si>
  <si>
    <t>1. クローバーのような緑のマーク　
2. 四つ葉のクローバー　
3. 白地に十字のマーク　
4. ハートマーク</t>
    <phoneticPr fontId="2"/>
  </si>
  <si>
    <t>2,7,4,5</t>
  </si>
  <si>
    <t>（ア）手話／（イ）手話通訳の指示先＝聴覚障害／（ウ）手話通訳／（エ）音声通訳という対応。</t>
  </si>
  <si>
    <t>近代ろう教育の端緒はド・レペ（仏）。日本最初は1878（明治11）年の京都聾唖院。</t>
  </si>
  <si>
    <t>2,3,7</t>
  </si>
  <si>
    <t>1,2,3</t>
  </si>
  <si>
    <t>穴埋め形式</t>
  </si>
  <si>
    <t>1. 要約筆記
2. 手話
3. 逐次通訳
4. 聴覚障害
5. 音声通訳
6. 文字
7. 手話通訳
8. 身体支援
9. 口話法1
0. 言語的支援</t>
    <phoneticPr fontId="2"/>
  </si>
  <si>
    <t>1. ド・レペ
2. 京都聾唖院
3. 古河太四郎
4. 都立聾唖学校
5. グラハム・ベル
6. 補聴器
7. ベルケラー
8. 高橋器具</t>
    <phoneticPr fontId="2"/>
  </si>
  <si>
    <t>ろう者にとって（ア）は大切なコミュニケーション手段です。そして、ろう者の情報保障として（イ）がある。（イ）には2種類ある。音声言語に変換するのは（ウ）、さらに音声を手話に翻訳するのは（エ）といいます。（ア）〜（エ）に入る語句を選びなさい。</t>
    <rPh sb="34" eb="35">
      <t>シャ</t>
    </rPh>
    <rPh sb="36" eb="40">
      <t>ジョ;ホショウ</t>
    </rPh>
    <rPh sb="56" eb="58">
      <t>シュルイ</t>
    </rPh>
    <phoneticPr fontId="2"/>
  </si>
  <si>
    <t>手話の歴史は、フランスの（ア）が1760年にパリで設立したろう学校で系統化が始まったとされます。日本で最初のろう学校は（イ）です。（ウ）が1878年に設立しました。</t>
    <rPh sb="73" eb="74">
      <t>ネン</t>
    </rPh>
    <rPh sb="75" eb="77">
      <t>セツリツ</t>
    </rPh>
    <phoneticPr fontId="2"/>
  </si>
  <si>
    <t>1,2,3</t>
    <phoneticPr fontId="2"/>
  </si>
  <si>
    <t>（ア）は、聴覚や発話に困難のある人（きこえない人）と、きこえる人（聴覚障害等以外の人）との会話を通訳オペレータが（イ）または「文字」と「音声」を通訳することで、即時（ウ）につながることができる、法律に基づいた公共インフラとしてのサービスです。2020（令和2）年6月、「聴覚障害者等による電話の利用の円滑化に関する法律」が制定され制度化されました。</t>
    <phoneticPr fontId="2"/>
  </si>
  <si>
    <t>1. 電話リレーサービス
2. FAXリレーサービス
3. 遠隔サービス
4. 英語
5. 手話
6. 身振り
7. 双方向
8. 一方向</t>
    <phoneticPr fontId="2"/>
  </si>
  <si>
    <t>1,5,7</t>
    <phoneticPr fontId="2"/>
  </si>
  <si>
    <t>民間サービスで行われてきた「電話リレーサービス」が、2020（令和2）年から公的サービスとして整備されました。聴覚障害者はネット回線を通じて、手話等で「電話リレーサービス提供機関」の通訳オペレータに意思を伝え、それを電話の相手方あるいは警察や消防等の緊急通報受理機関に音声等で伝えることで、双方が電話でコミュニケーションを取ることができます。
このサービスはきこえる人が電話をいつでも使えるのと同様に、24時間・365日利用が可能です。利用料金もきこえる人の電話料等と変わりません。電話リレーサービスにかかる費用は、各電話会社により負担されており、携帯電話利用者の利用料に「電話リレーサービス料」として計上されています。</t>
    <phoneticPr fontId="2"/>
  </si>
  <si>
    <t>聴覚障害者活動は、ひとことで言えば、社会への（ア）をめざす取り組みといえます。多くの運動の成果として、「人権を守る活動」では、（イ）、民法第11条の改正、（ウ）があげられます。</t>
  </si>
  <si>
    <t>6,4,1</t>
  </si>
  <si>
    <t>自動車運転免許獲得運動は、1968（昭和43）年の岩手県での聴覚障害者の運転免許裁判をきっかけに展開されました。裁判では敗訴したものの、1973（昭和48）年には「補聴器装着条件での運転を認める」という警察庁通達が出され、翌年の道路交通法の改正では、補聴器を装着しても全くきこえない者を対象に「聴覚障害者用表示」「特定後写鏡（ワイドミラーまたは補助ミラー）」の装着を条件に運転免許が可能になりました。その後2007（平成19）年の道路交通法改正により、装着条件が緩和され、2012（平成24）年には貨物車、2016（平成28）年には営業バス、タクシーも条件付きで運転できるようになりました。</t>
  </si>
  <si>
    <t>手話の「思う」と「私」では（ア）が異なります。「売る」と「買う」では（イ）が異なり、「男」と「女」では（ウ）が異なります。このような例から、手話言語は一定の要素が複雑に組み合わさって構成されているといえます。</t>
  </si>
  <si>
    <t>1,2,4</t>
  </si>
  <si>
    <t>手話は、手の形（手のひらを含む）、手の位置、手の動きが構成要素になっています。「思う」と「私」は人差し指の手の形は同じですが、「思う」はこめかみの辺りを指し、「私」は胸の前や顔の前を指すので、手の位置が異なります。また、「売る」と「買う」は手の動きが逆で意味が分かれ、「男」と「女」は手の形が異なることで意味を区別します。</t>
  </si>
  <si>
    <t>全日本ろうあ運動が権利獲得のため取り組んだ運動は様々あります。1985（昭和60）年に（ア）制度化を提言するため厚生省（当時）に提出した報告をもとに作成されたパンフレット（イ）普及の取り組みは、当時の人口の約1％である（ウ）を想定して行われました。</t>
  </si>
  <si>
    <t>手話通訳者の養成、設置・派遣の方法、全国統一の資格認定の必要性などをまとめた「手話通訳者養成指導者報告書」の内容を国民に広く理解してもらう目的で作成されたのが『アイ・ラブ・コミュニケーション』パンフレットです。普及活動は日本の人口の約1％に読んでもらうことを目標にしており、120万部を普及目標として印刷・配布されました。</t>
  </si>
  <si>
    <t>きこえにくい状態を「難聴」と言います。難聴の種類には伝音性難聴と（ア）難聴、混合性難聴があります。聴力が最大で70デシベルを超えない伝音系のみに障害のある場合は、（イ）に音のエネルギーが伝わりにくくなるだけで、（ウ）の利用は有効です。</t>
  </si>
  <si>
    <t>4,10,2</t>
  </si>
  <si>
    <t>伝音性難聴は、外耳道から鼓膜、耳小骨までの外耳や中耳に原因があり、音のエネルギー（空気振動の伝導）が内耳に届きにくくなるものです。この場合、補聴器を使用すれば有効であり、多くの人にとって適切に音を拡大して伝えることができます。一方、感音性難聴は、内耳の有毛細胞や聴神経に障害があるために起こるきこえにくさを指します。</t>
  </si>
  <si>
    <t>障害者福祉制度は、2003（平成15）年4月の（ア）の導入により、従来の「措置制度」から大きく転換されましたが、新たな課題が生じてきました。これらの課題の解決をめざし、2005（平成17）年11月に（イ）が公布されました。さらに2013（平成25）年4月に（ウ）となり、障害者に対する支援の拡充などの改正が行われました。</t>
  </si>
  <si>
    <t>戦後日本の障害者福祉制度は、行政が利用先や内容を決める「措置制度」で運営されていましたが、2003年に「支援費制度」が導入され、利用者自身が選択できる方式に変わりました。しかし課題も多く、2005年には「障害者自立支援法」が制定され、さらに2013年には「障害者総合支援法」に改正され、支援の拡充が図られました。</t>
  </si>
  <si>
    <t>1. 医師法等の絶対的欠格条項の改正
2. エコツーリズム
3. 男女雇用機会均等
4. 自動車運転免許の獲得
5. 全国手話研修センター設立
6. 完全参加と平等
7. 介護保険
8. 手話言語の理解と普及</t>
    <phoneticPr fontId="2"/>
  </si>
  <si>
    <t>1. 手の位置
2. 手の動き
3. 語順
4. 手の形
5. 手のひらの向き
6. 顔の表情
7. 体の向き
8. リズム</t>
    <phoneticPr fontId="2"/>
  </si>
  <si>
    <t>1. 手話認定
2. 手話通訳
3. 『アイ・ラブ・コミュニケーション』
4. 『We Love』パンフ
5. 『手話でGo！』パンフ
6. 手話言語法
7. 120万部
8. 15万部</t>
    <phoneticPr fontId="2"/>
  </si>
  <si>
    <t>1. 遺伝性
2. 補聴器
3. ヒアリングループ
4. 感音性
5. 赤外線式補聴システム
6. 聴神経
7. 突発性
8. 外耳
9. 中耳1
0. 内耳</t>
    <phoneticPr fontId="2"/>
  </si>
  <si>
    <t>1. 支援費制度
2. 障害者自立支援法
3. 障害者総合支援法
4. 身体障害者福祉法
5. 社会福祉法
6. 障害者雇用促進法
7. 聴覚障害者情報提供施設
8. 公費負担制度</t>
    <phoneticPr fontId="2"/>
  </si>
  <si>
    <t>小論文</t>
    <rPh sb="0" eb="3">
      <t>ショウロンブン</t>
    </rPh>
    <phoneticPr fontId="2"/>
  </si>
  <si>
    <t>「障害者差別解消法にある合理的配慮について、聞こえない・聞こえにくい人が必要とすることは何ですか」</t>
    <rPh sb="1" eb="3">
      <t>ショ;</t>
    </rPh>
    <rPh sb="3" eb="4">
      <t>シャ</t>
    </rPh>
    <rPh sb="4" eb="6">
      <t>サベツ</t>
    </rPh>
    <rPh sb="6" eb="9">
      <t>カイショウホウ</t>
    </rPh>
    <rPh sb="12" eb="17">
      <t>ゴウリテキハイリョ</t>
    </rPh>
    <rPh sb="22" eb="23">
      <t>キ</t>
    </rPh>
    <rPh sb="28" eb="29">
      <t>キ</t>
    </rPh>
    <rPh sb="34" eb="35">
      <t>r</t>
    </rPh>
    <rPh sb="36" eb="38">
      <t>ヒツヨウ</t>
    </rPh>
    <rPh sb="44" eb="45">
      <t>ナン</t>
    </rPh>
    <phoneticPr fontId="2"/>
  </si>
  <si>
    <t>1. 先輩
2. 同期
3. 後輩
4. 先生</t>
    <rPh sb="3" eb="5">
      <t>センパイ</t>
    </rPh>
    <rPh sb="9" eb="11">
      <t>ドウキ</t>
    </rPh>
    <rPh sb="15" eb="17">
      <t>コウハイ</t>
    </rPh>
    <rPh sb="21" eb="23">
      <t>センセイ</t>
    </rPh>
    <phoneticPr fontId="2"/>
  </si>
  <si>
    <t>1. テレビ
2. 階段
3. 家
4. 団地</t>
    <rPh sb="10" eb="12">
      <t>カイダン</t>
    </rPh>
    <rPh sb="16" eb="17">
      <t>イエ</t>
    </rPh>
    <rPh sb="21" eb="23">
      <t>ダンチ</t>
    </rPh>
    <phoneticPr fontId="2"/>
  </si>
  <si>
    <t>1. 福井
2. 大阪
3. 秋田
4. 岩手</t>
    <rPh sb="3" eb="5">
      <t>フクイ</t>
    </rPh>
    <rPh sb="9" eb="11">
      <t>オオサカ</t>
    </rPh>
    <rPh sb="21" eb="23">
      <t>イワテ</t>
    </rPh>
    <phoneticPr fontId="2"/>
  </si>
  <si>
    <t>1. 約束
2. パスワード
3. 静寂
4. 合言葉</t>
    <rPh sb="3" eb="5">
      <t>ヤクソク</t>
    </rPh>
    <rPh sb="18" eb="20">
      <t>セイジャク</t>
    </rPh>
    <rPh sb="24" eb="27">
      <t>アイコトバ</t>
    </rPh>
    <phoneticPr fontId="2"/>
  </si>
  <si>
    <t>1. 救急
2. 環境
3. フォローアップ
4. アクセシビリティ</t>
    <rPh sb="3" eb="5">
      <t>キュウキュウ</t>
    </rPh>
    <rPh sb="9" eb="11">
      <t>カ;</t>
    </rPh>
    <phoneticPr fontId="2"/>
  </si>
  <si>
    <t>1. カルシウム
2. コラーゲン
3. 世紀
4. カルビン</t>
    <rPh sb="21" eb="23">
      <t>セイキ</t>
    </rPh>
    <phoneticPr fontId="2"/>
  </si>
  <si>
    <t>c3Pd54uF-4Y</t>
    <phoneticPr fontId="2"/>
  </si>
  <si>
    <t>v5zGCihoY18</t>
    <phoneticPr fontId="2"/>
  </si>
  <si>
    <t>緑には古い表現があります。それは鼻の下で指を動かすような表現です。これは鼻水の色を表現しているらしいですがさすがにイメージが汚いということで森や植物を表すものに変わったようです。</t>
    <phoneticPr fontId="2"/>
  </si>
  <si>
    <t>Mc3BNEqGszQ</t>
    <phoneticPr fontId="2"/>
  </si>
  <si>
    <t>【会う】は自分主観で表現するときは利き手側の人差し指を工夫します。
具体的には手の甲を自分側に向けます。</t>
    <phoneticPr fontId="2"/>
  </si>
  <si>
    <t>このほか人差し指を用いる【深い】もあります。【浅い】の逆を表した手話単語かな？</t>
    <phoneticPr fontId="2"/>
  </si>
  <si>
    <t>1. 残す
2. 休む
3. 出る
4. 超える</t>
    <rPh sb="21" eb="22">
      <t>コ</t>
    </rPh>
    <phoneticPr fontId="2"/>
  </si>
  <si>
    <t>1. 逃げる
2. くつ
3. ほうき
4. タオル</t>
    <rPh sb="3" eb="4">
      <t>ニ</t>
    </rPh>
    <phoneticPr fontId="2"/>
  </si>
  <si>
    <t>1. あなご
2. さば
3. たい
4. かつお</t>
    <phoneticPr fontId="2"/>
  </si>
  <si>
    <t>【上手】と【きれい】は結構間違えやすい。</t>
    <phoneticPr fontId="2"/>
  </si>
  <si>
    <t>電車の手話はパンタグラフを表しているらしい。パンタグラフって何？</t>
    <phoneticPr fontId="2"/>
  </si>
  <si>
    <t>x-GIvaEl8EQ</t>
    <phoneticPr fontId="2"/>
  </si>
  <si>
    <t>-eAr1bhmANs</t>
    <phoneticPr fontId="2"/>
  </si>
  <si>
    <t>【ケーキ】と【豆腐】を表し分けない人もいる。</t>
    <phoneticPr fontId="2"/>
  </si>
  <si>
    <t>bSB-knMWvAY</t>
    <phoneticPr fontId="2"/>
  </si>
  <si>
    <t>手話【水】の表現は2番目くらいに多いのだとか？</t>
    <phoneticPr fontId="2"/>
  </si>
  <si>
    <t>bjIFAwjd3sM</t>
    <phoneticPr fontId="2"/>
  </si>
  <si>
    <t>1. 川
2. オホーツク海
3. 池
4. 海</t>
    <rPh sb="13" eb="14">
      <t>カイ</t>
    </rPh>
    <phoneticPr fontId="2"/>
  </si>
  <si>
    <t>ukOPkFqQ04Y</t>
    <phoneticPr fontId="2"/>
  </si>
  <si>
    <t>菰池という池に思い入れがあります。</t>
    <rPh sb="0" eb="2">
      <t>コモイケ</t>
    </rPh>
    <rPh sb="5" eb="6">
      <t>イケ</t>
    </rPh>
    <rPh sb="7" eb="10">
      <t>オモイイ</t>
    </rPh>
    <phoneticPr fontId="2"/>
  </si>
  <si>
    <t>初心者必須の表現。あごから指を弾くような表現もあります。</t>
    <phoneticPr fontId="2"/>
  </si>
  <si>
    <t>TfTm8Iprq_w</t>
    <phoneticPr fontId="2"/>
  </si>
  <si>
    <t>SDxbV4Y4Gwo</t>
    <phoneticPr fontId="2"/>
  </si>
  <si>
    <t>これもパラメータの増大みたいなものを表しているように見える。</t>
    <phoneticPr fontId="2"/>
  </si>
  <si>
    <t>球のほうだけの片手で表現する方法もあります。</t>
    <phoneticPr fontId="2"/>
  </si>
  <si>
    <t>xS5EDvIWEyM</t>
    <phoneticPr fontId="2"/>
  </si>
  <si>
    <t>3B0G_nqSKd0</t>
    <phoneticPr fontId="2"/>
  </si>
  <si>
    <t>応用が効く表現なのでぜひ覚えたいもののうちの1つ。</t>
    <phoneticPr fontId="2"/>
  </si>
  <si>
    <t>LrYL5nzTZJE</t>
    <phoneticPr fontId="2"/>
  </si>
  <si>
    <t>ウイルスという表現の一部でも登場することがある。</t>
    <phoneticPr fontId="2"/>
  </si>
  <si>
    <t>CV0uCeFjXYU</t>
    <phoneticPr fontId="2"/>
  </si>
  <si>
    <t>因みに教本から参照できる映像ではこぶしの向きが逆になっていました。</t>
    <phoneticPr fontId="2"/>
  </si>
  <si>
    <t>VVW9lq0Ild0</t>
    <phoneticPr fontId="2"/>
  </si>
  <si>
    <t>Uxzd3enyIg8</t>
    <phoneticPr fontId="2"/>
  </si>
  <si>
    <t>1. ダイエット
2. 安心
3. 危険
4. 不安</t>
    <phoneticPr fontId="2"/>
  </si>
  <si>
    <t>心を落ち着かせている。これをバタバタさせることで【焦る】に変化。</t>
    <phoneticPr fontId="2"/>
  </si>
  <si>
    <t>FDbx6jm6W6k</t>
    <phoneticPr fontId="2"/>
  </si>
  <si>
    <t>手話【言う】にはたくさんの表現があるので注意。動画でも考えています。</t>
    <rPh sb="0" eb="2">
      <t>シ;</t>
    </rPh>
    <rPh sb="3" eb="4">
      <t>イ</t>
    </rPh>
    <rPh sb="13" eb="15">
      <t>ヒ;</t>
    </rPh>
    <rPh sb="20" eb="22">
      <t>チュウイ</t>
    </rPh>
    <rPh sb="23" eb="25">
      <t>ドウガ</t>
    </rPh>
    <rPh sb="27" eb="28">
      <t>カンガ</t>
    </rPh>
    <phoneticPr fontId="2"/>
  </si>
  <si>
    <t>因みに教本から参照できる映像では【挨拶】の部分が【ください】になっていた。初めて見た。</t>
    <phoneticPr fontId="2"/>
  </si>
  <si>
    <t>Y3hQxs3BWaM</t>
    <phoneticPr fontId="2"/>
  </si>
  <si>
    <t>因みに教本から参照できる映像ではこの表現の後に【休み】の手話を挿入していた。必要なのだろうか。</t>
    <phoneticPr fontId="2"/>
  </si>
  <si>
    <t>y0v9gSSo8Ew</t>
    <phoneticPr fontId="2"/>
  </si>
  <si>
    <t>【遠い】単体の手話表現。このほか【近い】の逆で表す方法もある。</t>
    <phoneticPr fontId="2"/>
  </si>
  <si>
    <t>手話検定の5級には数字が1回は出てくるのかな？</t>
    <phoneticPr fontId="2"/>
  </si>
  <si>
    <t>PGlzOMPEjYI</t>
    <phoneticPr fontId="2"/>
  </si>
  <si>
    <t>watpO2okDNg</t>
    <phoneticPr fontId="2"/>
  </si>
  <si>
    <t>この表現は畑を耕す様子だが、ほかにも鼻の辺りで手を動かすような表現もある。これは鼻水を拭く様子で【田舎】という手話だがあまりにもイメージが悪いということであまり用いられていない。</t>
    <phoneticPr fontId="2"/>
  </si>
  <si>
    <t>7MP9FmLc1h0</t>
    <phoneticPr fontId="2"/>
  </si>
  <si>
    <t>2010年以降に生まれているとそもそもファックスの存在を知らない人もいる。この親指・人差し指を立てる「電話」のジェスチャーも徐々に伝わりづらくなっている。</t>
    <phoneticPr fontId="2"/>
  </si>
  <si>
    <t>rjDyK3pGgUc</t>
    <phoneticPr fontId="2"/>
  </si>
  <si>
    <t>手話【恥ずかしい】にはほかにも顔の周りで手をすぼめる表現などがある。</t>
    <phoneticPr fontId="2"/>
  </si>
  <si>
    <t>仮に「聴こえる」であれば【聴者】という手話でもよい。</t>
    <phoneticPr fontId="2"/>
  </si>
  <si>
    <t>8f-W7HGEAew</t>
    <phoneticPr fontId="2"/>
  </si>
  <si>
    <t>人差し指と中指は人の足を表している。子供でも分かるような動きだがCLで分かりやすいものの1つではないだろうか。</t>
    <rPh sb="0" eb="7">
      <t>ヒユ;トナカユビ</t>
    </rPh>
    <rPh sb="8" eb="9">
      <t>r</t>
    </rPh>
    <rPh sb="10" eb="11">
      <t>アシ</t>
    </rPh>
    <rPh sb="12" eb="13">
      <t>アラワ</t>
    </rPh>
    <phoneticPr fontId="2"/>
  </si>
  <si>
    <t>0ZOLM07JPmU</t>
    <phoneticPr fontId="2"/>
  </si>
  <si>
    <t>見ての通り分類するというようなイメージの「分かれる」だが、恋人と「別れる」というときも表される。</t>
    <phoneticPr fontId="2"/>
  </si>
  <si>
    <t>oABmwZt3lhY</t>
    <phoneticPr fontId="2"/>
  </si>
  <si>
    <t>fq32BvjHZ0I</t>
    <phoneticPr fontId="2"/>
  </si>
  <si>
    <t>有名な表現だが、なぜこのような手の形を用いているのかはよく分からない。</t>
    <phoneticPr fontId="2"/>
  </si>
  <si>
    <t>I-y1zvKC5sc</t>
    <phoneticPr fontId="2"/>
  </si>
  <si>
    <t>不味すぎて口から吐き出しているイメージ。実際に不味いものを食べると何とも言えない顔になるだけで終わる。</t>
    <phoneticPr fontId="2"/>
  </si>
  <si>
    <t>テレビの走査線を指で表現している。古くはチャンネルを変えるダイヤル操作を表していた。その時代にも優先リモコンなるものはあったらしい。</t>
    <phoneticPr fontId="2"/>
  </si>
  <si>
    <t>hV1S6EmO7Qk</t>
    <phoneticPr fontId="2"/>
  </si>
  <si>
    <t>vH6VP6Ik5dw</t>
    <phoneticPr fontId="2"/>
  </si>
  <si>
    <r>
      <rPr>
        <sz val="11"/>
        <color theme="1"/>
        <rFont val="Segoe UI Symbol"/>
        <family val="3"/>
      </rPr>
      <t>🎉</t>
    </r>
    <r>
      <rPr>
        <sz val="11"/>
        <color theme="1"/>
        <rFont val="Meiryo UI"/>
        <family val="3"/>
        <charset val="128"/>
      </rPr>
      <t>みたいなイメージ。自分はパーティーという意味でも用いるが、これも恐らくローカルな用法だと思われる。</t>
    </r>
    <phoneticPr fontId="2"/>
  </si>
  <si>
    <t>6PlA5o4OiPw</t>
    <phoneticPr fontId="2"/>
  </si>
  <si>
    <t>雄ライオンの顔周りの毛を表す。ハクナマタタ。</t>
    <phoneticPr fontId="2"/>
  </si>
  <si>
    <t>かつて銀行で格子ごしのやり取りを行っていたことからこのような表現になっているという説がある。だが、そんな時代は知らないので何とも言えない。</t>
    <phoneticPr fontId="2"/>
  </si>
  <si>
    <t>ZpXsE-gLPBk</t>
    <phoneticPr fontId="2"/>
  </si>
  <si>
    <t>フレアスカートの形を表す。ズボンやスカートなどの手話は存在するものの、ファッションの会話をする機会は個人的にあまり多くない。</t>
    <phoneticPr fontId="2"/>
  </si>
  <si>
    <t>9x8K7yhspbM</t>
    <phoneticPr fontId="2"/>
  </si>
  <si>
    <t>目玉を動かして探している様子。指文字「メ」の形は目元で表すことで目のCLになる。酔っぱらった際などの特定の場面において目の動きを細かく表す際にも登場する。</t>
    <phoneticPr fontId="2"/>
  </si>
  <si>
    <t>vzwL-89sC3M</t>
    <phoneticPr fontId="2"/>
  </si>
  <si>
    <t>nQf5DzjY5tM</t>
    <phoneticPr fontId="2"/>
  </si>
  <si>
    <t>c4noW6IVp04</t>
    <phoneticPr fontId="2"/>
  </si>
  <si>
    <t>個人的にあまり表す機会はない。</t>
    <phoneticPr fontId="2"/>
  </si>
  <si>
    <t>階段の段差を表す。【歩く】と同じような手の形で階段を上ったり、降りたりする様子を表現してもよい。</t>
    <phoneticPr fontId="2"/>
  </si>
  <si>
    <t>TmuXIUUmrkg</t>
    <phoneticPr fontId="2"/>
  </si>
  <si>
    <t>お金を財布に見立てた手のところに入れている様子。</t>
    <phoneticPr fontId="2"/>
  </si>
  <si>
    <t>PgedSgHf5DM</t>
    <phoneticPr fontId="2"/>
  </si>
  <si>
    <t>靴にはいくつかの表現がある。動画の表現は靴ベラを使う様子を表しており、ほかにも折り曲げた親指・人差し指をほほにつけるような表現がある。これは昔の靴の原料やメンテナンスに使うものが松であり【松】の手話から来ているようである。</t>
    <phoneticPr fontId="2"/>
  </si>
  <si>
    <t>1. とびら
2. トイレ
3. 窓
4. 壁</t>
    <phoneticPr fontId="2"/>
  </si>
  <si>
    <t>GE49M44O3T4</t>
    <phoneticPr fontId="2"/>
  </si>
  <si>
    <t>開けるしぐさがなくてもよさそうだが、ノブを回すだけだと「ドアノブ」と勘違いする人もいるらしい。</t>
    <phoneticPr fontId="2"/>
  </si>
  <si>
    <t>指文字コのような形にした手は背丈を表している。後輩は自分よりも小さいということをイメージしている。このほか同期・先輩という表現も同じように背丈のイメージで表すことができる。</t>
    <phoneticPr fontId="2"/>
  </si>
  <si>
    <t>Wx5lXqzXJnM</t>
    <phoneticPr fontId="2"/>
  </si>
  <si>
    <t>X9ktq6LJafA</t>
    <phoneticPr fontId="2"/>
  </si>
  <si>
    <t>普段は両手指文字ヤが縮まるような表現を用いるが教本から参照できる映像ではこのような表現を用いていた。これでも見て分からなくはないが表したい「狭い」が本当に人間がつぶれるほどの狭さなのかは表現する際に考えたほうがよさそう。</t>
    <phoneticPr fontId="2"/>
  </si>
  <si>
    <t>O56hCgyM4jQ</t>
    <phoneticPr fontId="2"/>
  </si>
  <si>
    <t>【流】【組織】といった表現。組織構造が上からどんどん派生していることをイメージしている。辞書にも載っている表現で意外とろうの方からも表されることもある。</t>
    <phoneticPr fontId="2"/>
  </si>
  <si>
    <t>4LZVgJThWbE</t>
    <phoneticPr fontId="2"/>
  </si>
  <si>
    <t>地面に張ったテントの形を表している。【最初】という手話と似ているため、割と読み取るためには知っておいた方がよい表現だといえる。</t>
    <phoneticPr fontId="2"/>
  </si>
  <si>
    <t>人差し指・中指は寝ている人の足を表現しており、添えている手のひらはベッドを表している。教本から参照できる映像ではベッドごと動かしているが、自分で表す際はベッド側を固定し、そこに人が載るようにして表している。実態としては両方見かけることがある。</t>
    <phoneticPr fontId="2"/>
  </si>
  <si>
    <t>5eKmxwdO9Ss</t>
    <phoneticPr fontId="2"/>
  </si>
  <si>
    <t>yzKVaRFlHg0</t>
    <phoneticPr fontId="2"/>
  </si>
  <si>
    <t>手話【仕事】は書類をかき集めて整頓する様子。ろうの方は耳が聞こえない、つまり騒音の中のストレスが聴者よりも少ないということで、その特性を生かし、古くは騒音の印刷所で働いていたことに由来すると言われている。さらに昔は工業系業務に従事していたということで【作る】の手話で【仕事】と表していた。</t>
    <phoneticPr fontId="2"/>
  </si>
  <si>
    <t>4sQy81458xU</t>
    <phoneticPr fontId="2"/>
  </si>
  <si>
    <t>手話単語【少し】【前】を合わせた表現。実際には「少し前」というのは【前】という手話単語の表し方で調整して表現することができるが、対応手話としてこのような表現もできる。</t>
    <phoneticPr fontId="2"/>
  </si>
  <si>
    <t>-TgGRB1xnFg</t>
    <phoneticPr fontId="2"/>
  </si>
  <si>
    <t>手話単語【残る】はかまどに残ったご飯粒をしゃもじでかき集める様子という説がある。個人的には使いどころがあまりなく声を出して手話をするとき以外にはあまり用いていない。</t>
    <phoneticPr fontId="2"/>
  </si>
  <si>
    <t>IbnrsLBNS9A</t>
    <phoneticPr fontId="2"/>
  </si>
  <si>
    <t>【空】【天気】などの表現。手話ニュースの気象情報で見ることができる。</t>
    <phoneticPr fontId="2"/>
  </si>
  <si>
    <t>1oEP1RXLrdw</t>
    <phoneticPr fontId="2"/>
  </si>
  <si>
    <t>手話単語【生活】と同じで太陽の昇り沈みを表しているようだ。</t>
    <phoneticPr fontId="2"/>
  </si>
  <si>
    <t>aQ-1YVf3zoE</t>
    <phoneticPr fontId="2"/>
  </si>
  <si>
    <t>手話単語【万】【建物】で表現することができる。教本から参照できる映像ではまた別の表現が用いられていた。ちなみにアパートはまた別の表現がある。</t>
    <phoneticPr fontId="2"/>
  </si>
  <si>
    <t>口にくわえたバラを表す。今時そんな奴居らんだろ…と思ったが昔も実在したのかは不明。</t>
    <phoneticPr fontId="2"/>
  </si>
  <si>
    <t>tEHycZsYqOU</t>
    <phoneticPr fontId="2"/>
  </si>
  <si>
    <t>カップの取っ手を持つ手と、かき混ぜる様子で表現する。</t>
    <rPh sb="4" eb="5">
      <t>ト</t>
    </rPh>
    <rPh sb="6" eb="7">
      <t>テ</t>
    </rPh>
    <rPh sb="8" eb="9">
      <t>モ</t>
    </rPh>
    <rPh sb="10" eb="11">
      <t>テ</t>
    </rPh>
    <rPh sb="15" eb="16">
      <t>マ</t>
    </rPh>
    <rPh sb="18" eb="20">
      <t>ヨウス</t>
    </rPh>
    <rPh sb="21" eb="23">
      <t>ヒ;</t>
    </rPh>
    <phoneticPr fontId="2"/>
  </si>
  <si>
    <t>l8oj8ECJ9wg</t>
    <phoneticPr fontId="2"/>
  </si>
  <si>
    <t>H7YeDOyRuGk</t>
    <phoneticPr fontId="2"/>
  </si>
  <si>
    <t>完全に形を表しているだけの表現。これだけだと包み紙なのかハンカチなのかそのほかなのか分からないため、実用にはもう少し補足情報があったほうが伝わりやすそう。</t>
    <phoneticPr fontId="2"/>
  </si>
  <si>
    <t>ix2N16Z3sVc</t>
    <phoneticPr fontId="2"/>
  </si>
  <si>
    <t>【年】を表現してから未来方向に数字の1を向ける表現。【年】は木の年輪を表す。この語順に基づき【今年】の手話は【今】【年】ではなく【年】【今】と表すべきと主張する人もいる。</t>
    <phoneticPr fontId="2"/>
  </si>
  <si>
    <t>QbGdAIZajNQ</t>
    <phoneticPr fontId="2"/>
  </si>
  <si>
    <t>人差し指で「静かにしてね…」ということを表している。静かにしようと言うことを伝えるときはこのように落ち着いて伝えるべきであり決して叫ぶべきではない。</t>
    <phoneticPr fontId="2"/>
  </si>
  <si>
    <t>郵便マーク〒を手で作り送り先に動かすようにする。教本から参照できる映像では微妙に違っており、郵便マークは作っていなかったように思える。</t>
    <phoneticPr fontId="2"/>
  </si>
  <si>
    <t>30-lNuca8t0</t>
    <phoneticPr fontId="2"/>
  </si>
  <si>
    <t>M-DJ4a0I7Ek</t>
    <phoneticPr fontId="2"/>
  </si>
  <si>
    <t>1. 狐
2. キリン
3. 犬
4. 猫</t>
    <phoneticPr fontId="2"/>
  </si>
  <si>
    <t>日本にも古くからある狐のハンドサイン。脳内の一番奥にあるのも狐。</t>
    <phoneticPr fontId="2"/>
  </si>
  <si>
    <t>20981fttCOQ</t>
    <phoneticPr fontId="2"/>
  </si>
  <si>
    <t>秋田名産のふきを表している。「ふき」とはアニメ映画「となりのトトロ」などでトトロが傘のように持っている大きな植物のこと。</t>
    <phoneticPr fontId="2"/>
  </si>
  <si>
    <t>DJV-0qxdHnA</t>
    <phoneticPr fontId="2"/>
  </si>
  <si>
    <t>ブドウの房を表す。【山梨県】という手話でもある。</t>
    <phoneticPr fontId="2"/>
  </si>
  <si>
    <t>9wEfpYGQCUY</t>
    <phoneticPr fontId="2"/>
  </si>
  <si>
    <t>ほうきを使っている様子を表す。アニメ「天才バカボン」などに登場するレレレのおじさんのしぐさを見ると分かりやすい。</t>
    <phoneticPr fontId="2"/>
  </si>
  <si>
    <t>【魚】+【建物】で表現するが教本から参照できる映像では両手で表現されていた。確かにたくさんの魚がいるわけだからこの表現は好きだなと思った。</t>
    <phoneticPr fontId="2"/>
  </si>
  <si>
    <t>T4QtCjYLTsY</t>
    <phoneticPr fontId="2"/>
  </si>
  <si>
    <t>【思う】+【助ける】で表現されている。個人的には見たことがない。</t>
    <phoneticPr fontId="2"/>
  </si>
  <si>
    <t>U9zm4DZs_3k</t>
    <phoneticPr fontId="2"/>
  </si>
  <si>
    <t>目の前からフッと物が消えてしまうイメージ。動きが格好いい手話TOP10には入るのではないだろうか。</t>
    <phoneticPr fontId="2"/>
  </si>
  <si>
    <t>aKtnFzveQJ4</t>
    <phoneticPr fontId="2"/>
  </si>
  <si>
    <t>3pz67YaAQQg</t>
    <phoneticPr fontId="2"/>
  </si>
  <si>
    <t>アナゴの…ヒレ？を指文字アで表現していると思われる。</t>
    <phoneticPr fontId="2"/>
  </si>
  <si>
    <t>u2siEK-blec</t>
    <phoneticPr fontId="2"/>
  </si>
  <si>
    <t>読話とは口の形を読んで話している内容を理解すること。そのような意味を捉えて口の辺りで【読み取る】を表しているのだと思うが、「口を」読んでいるのであって「口で」読んでいるのでこの表現は少しおかしいような気もする。</t>
    <phoneticPr fontId="2"/>
  </si>
  <si>
    <t>Jkqdd5rk-fA</t>
    <phoneticPr fontId="2"/>
  </si>
  <si>
    <t>【辛い】+（容器を回す様子）で表現されている。個人的には（容器を回す様子）のみで表現する。</t>
    <phoneticPr fontId="2"/>
  </si>
  <si>
    <t>Ejjfl3l0qBI</t>
    <phoneticPr fontId="2"/>
  </si>
  <si>
    <t>ほほの辺りで手を動かしている。顔周りで動かす手話で実際に皮膚に触りながら表している人がたまにいるが別に触らなくてもよい。</t>
    <phoneticPr fontId="2"/>
  </si>
  <si>
    <t>YEChP8DHHJQ</t>
    <phoneticPr fontId="2"/>
  </si>
  <si>
    <t>【東】+【海】。いわゆるイーストブルー。</t>
    <phoneticPr fontId="2"/>
  </si>
  <si>
    <t>szqR8hqYx00</t>
    <phoneticPr fontId="2"/>
  </si>
  <si>
    <t>頭が悩ませている様子。回っているのは頭が回るという言葉からで、これが食い違って止まってしまう表現が【思考停止】である。</t>
    <phoneticPr fontId="2"/>
  </si>
  <si>
    <t>pMVHoF6_KB8</t>
    <phoneticPr fontId="2"/>
  </si>
  <si>
    <t>JmjOXKCRhHs</t>
    <phoneticPr fontId="2"/>
  </si>
  <si>
    <t>親指と小指が立っている表現は社会・歴史など人に関わるものが多い。これは親指は男性を、小指は女性を表しており、その両方が立っている手話は男性・女性＝人間全体を包含するイメージであるというところからきているらしい。【電話】は違う。</t>
    <phoneticPr fontId="2"/>
  </si>
  <si>
    <t>親指は人をイメージしており、2人の人が「より相手より高みへ」と競い合っているさまを表している。【試験】なども同じ表現。</t>
    <phoneticPr fontId="2"/>
  </si>
  <si>
    <t>0UjRGfgn6Qw</t>
    <phoneticPr fontId="2"/>
  </si>
  <si>
    <t>sPnCjWhEuxo</t>
    <phoneticPr fontId="2"/>
  </si>
  <si>
    <t>【油】+（油で揚げる様子）。油がない場合は「しゃぶしゃぶ」などにもこの動きは用いられることがある。</t>
    <phoneticPr fontId="2"/>
  </si>
  <si>
    <t>94TSkzqbpoE</t>
    <phoneticPr fontId="2"/>
  </si>
  <si>
    <t>胸をかきむしる様子。片手で表現する場合もある。その場合は心臓の辺りをかきむしるようにする。</t>
    <phoneticPr fontId="2"/>
  </si>
  <si>
    <t>ごまをパラパラ落としているのだと思われる。だが、個人的には見たことがない。ごまの特徴が表されているわけではないので実用するにはもう少し補足情報が必要か？</t>
    <phoneticPr fontId="2"/>
  </si>
  <si>
    <t>GF-MsAh8en4</t>
    <phoneticPr fontId="2"/>
  </si>
  <si>
    <t>F7zxgP7ayAw</t>
    <phoneticPr fontId="2"/>
  </si>
  <si>
    <t>【発表】+【会】。【会】の手話は【家】とは異なり、作った屋根を一瞬離すような動きを加える。だが、その動きをしない人も多い。</t>
    <phoneticPr fontId="2"/>
  </si>
  <si>
    <t>2VMTTqYq_L0</t>
    <phoneticPr fontId="2"/>
  </si>
  <si>
    <t>ある決まったスケジュール期間がずれてしまうイメージ。</t>
    <phoneticPr fontId="2"/>
  </si>
  <si>
    <t>DIcg_hjwA3E</t>
    <phoneticPr fontId="2"/>
  </si>
  <si>
    <t>顔の周りを指し示す。一応手話単語は存在するが「顔」「髪」「耳」「服」などは実際にその場所に触れれば相手に伝えることができる。その際、口話は忘れないようにした方がよい。</t>
    <phoneticPr fontId="2"/>
  </si>
  <si>
    <t>lZ627f7uzF0</t>
    <phoneticPr fontId="2"/>
  </si>
  <si>
    <t>【学校】【辞める】で表現する。この【辞める】はquiteなわけだが「手話を辞める」という文脈で表現した際に「適切ではない」というコメントを受けたことがある。どの程度をカバーしているかはいまだ不明。</t>
    <phoneticPr fontId="2"/>
  </si>
  <si>
    <t>kayCHVlQewI</t>
    <phoneticPr fontId="2"/>
  </si>
  <si>
    <t>個人的には見たことがない。キノコを表すことはある。</t>
    <rPh sb="0" eb="3">
      <t>コrテキ</t>
    </rPh>
    <rPh sb="5" eb="6">
      <t>ミ</t>
    </rPh>
    <rPh sb="17" eb="18">
      <t>アラワ</t>
    </rPh>
    <phoneticPr fontId="2"/>
  </si>
  <si>
    <t>wokdu7sfAlQ</t>
    <phoneticPr fontId="2"/>
  </si>
  <si>
    <t>人工内耳とは補聴器での装用効果が不十分である方に取りつけることがある人工臓器。このほかにも5本指で表すこともある。この5本指は【機械】の手話から来ている。</t>
    <phoneticPr fontId="2"/>
  </si>
  <si>
    <t>nRI3ACpl-9w</t>
    <phoneticPr fontId="2"/>
  </si>
  <si>
    <t>親指が人間を表しており、その周りということで【環境】。このほかにも【守る】という手話で【環境】と表す人もいる。ただこれは【守る】という認識をしている人からは「間違ってますよ」と批判されることもあるので区別のために【環境】を覚えておいた方がよいかもしれない。</t>
    <phoneticPr fontId="2"/>
  </si>
  <si>
    <t>r74pKbsKC2U</t>
    <phoneticPr fontId="2"/>
  </si>
  <si>
    <t>【合わない】という手話をベースにし利き手側の手を指文字アにした合体表現。腕などを搔くことによって「アレルギー」を表すこともある。いずれにしても口話を大きく動かした方がよいかもしれない。</t>
    <phoneticPr fontId="2"/>
  </si>
  <si>
    <t>jFdDW0_Khwo</t>
    <phoneticPr fontId="2"/>
  </si>
  <si>
    <t>病原菌が体の中に入ってくる様子。この表現は「他人から感染してしまう」ということだが教本から参照できる映像では逆に「自分から他人に感染させてしまう」表現だった。</t>
    <phoneticPr fontId="2"/>
  </si>
  <si>
    <t>G3yRNGaqV0I</t>
    <phoneticPr fontId="2"/>
  </si>
  <si>
    <t>【法律】という手話。裁判長が持つ木槌「ガベル」を表しているという説がある。</t>
    <phoneticPr fontId="2"/>
  </si>
  <si>
    <t>【しゃべる】+【うわさ】で表現されている。個人的には【うわさ】のみでよいのではないだろうかと思う。</t>
    <phoneticPr fontId="2"/>
  </si>
  <si>
    <t>hsQUbTz_-J0</t>
    <phoneticPr fontId="2"/>
  </si>
  <si>
    <t>FxmzMthx6rw</t>
    <phoneticPr fontId="2"/>
  </si>
  <si>
    <t>【秘密】+（パスワード入力エリア あるいは単語？）で表現されていると思われる。後半の表現は普通に【単語】でも問題ないはず。</t>
    <phoneticPr fontId="2"/>
  </si>
  <si>
    <t>人に見立てた人差し指を囲う【守る】とそれを推す【助ける】を続けていると思われる。教本にはカタカナ語も手話化しているので覚えようとあるが新しく定義された表現を手話話者が新しく学んでいるのかは微妙なところ。</t>
    <phoneticPr fontId="2"/>
  </si>
  <si>
    <t>w5nWwpr7Os8</t>
    <phoneticPr fontId="2"/>
  </si>
  <si>
    <t>RMbgBJaoxxs</t>
    <phoneticPr fontId="2"/>
  </si>
  <si>
    <t>個人的には見たことがない。スピーチ課題の時に試験官に表現したら読み取ってくれるのだろうか？</t>
    <phoneticPr fontId="2"/>
  </si>
  <si>
    <t>sTORIGYj2Yk</t>
    <phoneticPr fontId="2"/>
  </si>
  <si>
    <t>4本の指で口元で手を動かす。なぜ4本なのか？と昔聞かれたことがあるがいまだに分からない。</t>
    <phoneticPr fontId="2"/>
  </si>
  <si>
    <t>花が枯れる様子から来ていると思われる。見たことがないが確かに意味は伝わってくる。</t>
    <phoneticPr fontId="2"/>
  </si>
  <si>
    <t>wExth7OI3Oo</t>
    <phoneticPr fontId="2"/>
  </si>
  <si>
    <t>1. 枯れる
2. しだれ桜
3. 散る
4. 枝</t>
    <rPh sb="13" eb="14">
      <t>ザクラ</t>
    </rPh>
    <phoneticPr fontId="2"/>
  </si>
  <si>
    <t>ウイルスを顕微鏡で覗いている様子。</t>
    <phoneticPr fontId="2"/>
  </si>
  <si>
    <t>QCVMp4ZBLsY</t>
    <phoneticPr fontId="2"/>
  </si>
  <si>
    <t>SKz1iPR0bZc</t>
    <phoneticPr fontId="2"/>
  </si>
  <si>
    <t>個人的にはどこかで数回見たことがある気がする。だが、自分で表す際は【必要】の手話を用いる。</t>
    <phoneticPr fontId="2"/>
  </si>
  <si>
    <t>1. 人情
2. 義理
3. 義務
4. 責任</t>
    <rPh sb="3" eb="5">
      <t>ニンジョウ</t>
    </rPh>
    <phoneticPr fontId="2"/>
  </si>
  <si>
    <t>手話【基本】と手話【理由】を合体させた手話らしい。個人的には見たことがない。別に合体させなくてもよかったような気はするが…。</t>
    <phoneticPr fontId="2"/>
  </si>
  <si>
    <t>j82hFSGjlWk</t>
    <phoneticPr fontId="2"/>
  </si>
  <si>
    <t>手話【政治】と手話【お金】を合体させた表現。個人的には見たことがない。財政とは財務省によると「（公共施設や公的サービスを提供のために）税金などのお金を集めて管理し、必要なお金を支払っていく活動」のこと。</t>
    <phoneticPr fontId="2"/>
  </si>
  <si>
    <t>3DOu0B-X-aw</t>
    <phoneticPr fontId="2"/>
  </si>
  <si>
    <t>Y-8d7wnUllk</t>
    <phoneticPr fontId="2"/>
  </si>
  <si>
    <t>個人的には見たことがない。これで「20世紀少年」と手話で表すのが楽になった。</t>
    <phoneticPr fontId="2"/>
  </si>
  <si>
    <t>「障害のある人が暮らしやすい社会の実現のために何が必要だと考えますか。あなたの考えを述べてください。」</t>
    <rPh sb="1" eb="3">
      <t>ショ;</t>
    </rPh>
    <phoneticPr fontId="2"/>
  </si>
  <si>
    <t>「聴覚障害者が、さまざまな分野で社会参加するためにどのようなことが必要だと思いますか。」</t>
    <phoneticPr fontId="2"/>
  </si>
  <si>
    <t>「「共生社会」という言葉がよく使われています。聴覚障害者が暮らしやすい社会になるために必要と考えることを述べてください。」</t>
    <phoneticPr fontId="2"/>
  </si>
  <si>
    <t>「新しい手話の創作と普及について、あなたの考えを述べてください。」</t>
    <phoneticPr fontId="2"/>
  </si>
  <si>
    <t>「聴覚障害者の雇用について、あなたの考えを書いてください。」</t>
    <phoneticPr fontId="2"/>
  </si>
  <si>
    <t>「障害者差別解消法が施行されて一年半が過ぎましたが、障害者の暮らしはどのように変わりましたか。また変わってほしいですか。あなたの考えを書いてください。」</t>
    <phoneticPr fontId="2"/>
  </si>
  <si>
    <t>「今年の４月から障害者差別解消法が施行されましたが、聞こえない人が社会の中で暮らすためにどのような環境になればよいと思いますか。あなたの考えを書いてください。」</t>
    <phoneticPr fontId="2"/>
  </si>
  <si>
    <t>「あなたの会社（学校・クラス）に聴覚障害のある人が入ってきました。この聴覚障害者が快適に仕事（学校）をするために、どのような配慮が必要と考えるか述べてください。」</t>
    <phoneticPr fontId="2"/>
  </si>
  <si>
    <t>木魚を叩く仕草。</t>
    <phoneticPr fontId="2"/>
  </si>
  <si>
    <t>- 序論（導入）
  - 法律やテーマの概要を簡潔に説明する
  - 例：「障害者差別解消法では、障害のある人が平等に社会参加できるよう『合理的配慮』を行うことが求められている。」
- 本論① 課題提示
  - 聞こえない・聞こえにくい人が直面する困難を示す
  - 情報にアクセスできない（会議、医療、災害時など）
  - 周囲との意思疎通が難しい場面がある
- 本論② 具体的な合理的配慮
  - 手話通訳や要約筆記の配置
  - 動画や会議での字幕・キャプションの整備
  - 病院や行政機関での筆談ボードやタブレット入力
  - 緊急時の映像通話やリアルタイム字幕サービス
- 本論③ 社会的意義
  - 合理的配慮は障害者だけの特別扱いではない
  - 高齢者や外国人にとっても有益
  - 結果として「ユニバーサルデザイン社会」に近づく
- 結論（まとめ）
  - 聞こえない人にとって合理的配慮とは「情報への平等なアクセス」
  - これを整えることで誰もが安心して生活できる共生社会の実現につながる</t>
    <phoneticPr fontId="2"/>
  </si>
  <si>
    <t>- 序論（導入）
  - 聴覚障害者の社会参加の意義を述べる
  - 例：「誰もが能力を発揮できる社会の実現には、聴覚障害者がさまざまな分野に参加できる環境整備が必要である。」
- 本論① 課題提示
  - 情報へのアクセスが十分に保障されていない
  - 教育・就労・医療・行政などでコミュニケーションの壁が存在する
  - 偏見や理解不足により参加の機会が制限される場合がある
- 本論② 必要な取り組み
  - 情報保障：手話通訳、要約筆記、字幕、ICTを活用した支援
  - 教育の充実：聴覚障害児へのバリアフリーな教育環境、専門支援員の配置
  - 就労支援：職場での合理的配慮、職業訓練や相談体制の整備
  - 社会の理解促進：手話言語法の周知、障害理解の啓発活動
- 本論③ 社会的意義
  - 聴覚障害者の社会参加は、個人の自立と尊厳を守るだけでなく、多様性を尊重する社会を実現する
  - 共生社会の推進は、結果的に誰にとっても住みやすい環境づくりにつながる
- 結論（まとめ）
  - 聴覚障害者が社会参加するためには、情報保障と環境整備、そして社会の理解が不可欠である
  - それらを進めることが、多様性を尊重する豊かな社会の実現につながる</t>
    <phoneticPr fontId="2"/>
  </si>
  <si>
    <t>- 序論（導入）
  - 「共生社会」の意味を簡潔に説明する
  - 例：「共生社会とは、障害の有無にかかわらず誰もが互いを尊重し合い、共に生きる社会を指す。」
- 本論① 現状の課題
  - 情報保障が不十分で、行政・教育・医療・就労などで壁がある
  - 社会全体の理解不足や偏見が依然として存在する
  - 緊急時や災害時に必要な情報が届きにくいという課題もある
- 本論② 必要な取り組み
  - 情報アクセスの整備：手話通訳、字幕、ICTを活用した情報保障
  - 法制度の充実：手話言語法の普及、障害者差別解消法の実効性強化
  - 教育と啓発：学校教育や地域活動を通じて聴覚障害への理解を深める
  - 日常生活での配慮：窓口での筆談対応、オンラインでの字幕化サービスの標準化
- 本論③ 社会的意義
  - 聴覚障害者が暮らしやすい社会は、すべての人にとって暮らしやすい社会である
  - 多様性を尊重する文化が根づけば、国際的にも成熟した社会といえる
- 結論（まとめ）
  - 聴覚障害者が暮らしやすい共生社会を実現するためには、情報保障の徹底と社会の理解促進が不可欠である
  - 共生社会の実現は、誰もが安心して暮らせる未来につながる</t>
    <phoneticPr fontId="2"/>
  </si>
  <si>
    <t>- 序論（導入）
  - 手話は時代や社会の変化に応じて新しい語彙が生まれる言語であることを述べる
  - 例：「新しい概念や技術が生まれる現代において、手話にも新しい表現を創作し普及させることが必要である。」
- 本論① 新しい手話が必要となる背景
  - 科学技術や社会制度の進展に伴い、新しい用語が次々登場している
  - 既存の手話では対応できない言葉が増えている
  - 情報格差を防ぐためにタイムリーな創作が求められる
- 本論② 新しい手話の創作における課題
  - 地域ごとの表現差や混乱の可能性
  - ろう者自身が主体的に創作に関わる必要
  - 視覚的にわかりやすく、使いやすい表現でなければ普及しにくい
- 本論③ 普及の方法
  - 全日本ろうあ連盟や研究機関を通じた標準化
  - 教育現場や手話講習会での積極的な活用
  - ICTやSNSを使った動画配信による広報
  - ろう者と聴者が協力して新しい手話を共有する仕組みづくり
- 本論④ 社会的意義
  - 新しい手話が普及することで、ろう者が新しい情報に平等にアクセスできる
  - 手話の進化は言語としての豊かさを示すものであり、社会の多様性を支える力になる
- 結論（まとめ）
  - 新しい手話の創作と普及は、ろう者の情報保障と社会参加を確実にするために不可欠である
  - ろう者が主体となり、社会全体で支える仕組みを整えることが重要である</t>
    <phoneticPr fontId="2"/>
  </si>
  <si>
    <t>- 序論（導入）
  - 雇用は自立と社会参加の基盤であることを示す
  - 例：「聴覚障害者が働きやすい環境を整えることは、本人の自立を支えるだけでなく、多様性を尊重する社会を築くうえで重要である。」
- 本論① 現状の課題
  - コミュニケーション面の壁（会議・電話応対・接客など）
  - 周囲の理解不足や合理的配慮の欠如
  - 雇用機会が限られ、職種が偏りがち
- 本論② 必要な配慮・取り組み
  - 情報保障：会議での手話通訳・要約筆記・字幕ツールの導入
  - 業務設計：電話業務を分担するなど、職務の合理的調整
  - 職場啓発：同僚への障害理解研修、手話講習の実施
  - ICT活用：チャットやメール、字幕生成アプリによるコミュニケーション支援
- 本論③ 社会的意義
  - 聴覚障害者の雇用は多様な視点をもたらし、組織の活性化につながる
  - 「働けるのに働けない」という状況を減らすことは人材不足解消にも貢献
  - 合理的配慮は他の従業員にとっても働きやすい環境をつくる
- 結論（まとめ）
  - 聴覚障害者の雇用促進には、情報保障と職場の理解促進が不可欠である
  - 働きやすい環境を整えることは、個人の自立と社会全体の持続的発展に結びつく</t>
    <phoneticPr fontId="2"/>
  </si>
  <si>
    <t>- 序論（導入）
  - 障害の有無にかかわらず誰もが安心して暮らせる社会の重要性を示す
  - 例：「障害のある人が暮らしやすい社会は、すべての人にとって安心できる社会である。」
- 本論① 現状の課題
  - 情報やサービスへのアクセスに格差がある
  - 移動や施設利用に物理的バリアが残っている
  - 偏見や無理解により、社会参加の機会が制限されることがある
- 本論② 必要な取り組み
  - 情報保障：字幕、手話通訳、読み上げ機能など多様な支援
  - バリアフリー：段差解消、点字ブロック、ユニバーサルトイレの整備
  - 法制度：障害者差別解消法や合理的配慮の徹底
  - 教育と啓発：障害理解を深める授業や地域活動での交流
  - ICT活用：テクノロジーを用いたコミュニケーション支援や在宅ワーク推進
- 本論③ 社会的意義
  - 障害者が安心して暮らせる社会は、子ども、高齢者、外国人など多様な人にとっても暮らしやすい
  - 共生社会の実現は、社会の成熟度を高め、国際的にも評価される
- 結論（まとめ）
  - 障害のある人が暮らしやすい社会に必要なのは、情報・環境・制度の三本柱である
  - それを社会全体で支えることで、誰もが共に生きやすい未来が実現する</t>
    <phoneticPr fontId="2"/>
  </si>
  <si>
    <t>- 序論（導入）
  - 障害者差別解消法の目的を簡潔に示す
  - 例：「障害者差別解消法は、障害を理由とする不当な差別を禁止し、合理的配慮を社会に根づかせるために制定された。」
- 本論① 現状の変化
  - 行政機関や企業で合理的配慮への理解が進み、窓口対応やサービスが改善されつつある
  - 学校や地域での障害理解教育が広がり、意識啓発の機会が増えている
  - ICT活用による情報保障（字幕や読み上げソフトなど）が以前より普及
- 本論② まだ残る課題
  - 合理的配慮の提供が事業者によって差がある
  - 障害者自身が声を上げにくい状況がある
  - 法律の存在が十分に周知されておらず、一般社会に浸透していない
  - 災害時や緊急時など、命に直結する場面での対応はまだ不十分
- 本論③ 今後の方向性（変わってほしい点）
  - 障害者本人のニーズを尊重した柔軟な配慮が当たり前になる社会
  - 教育や地域活動を通じて、障害理解が日常レベルで深まること
  - 行政・企業・市民が一体となって共生社会を築く流れの強化
  - ICTやAIを活用した新しい合理的配慮の拡大
- 結論（まとめ）
  - 障害者差別解消法の施行は確かな変化を生んでいるが、まだ道半ばである
  - 今後は法律を形式的に守る段階から、社会全体で障害者の視点を共有する段階へ進む必要がある</t>
    <phoneticPr fontId="2"/>
  </si>
  <si>
    <t>- 序論（導入）
  - 法律の施行を契機に、社会全体が変化を求められていることを示す
  - 例：「障害者差別解消法の施行は、聞こえない人が社会で安心して暮らす環境を整えるための大きな一歩である。」
- 本論① 現状の課題
  - 行政や医療の場で情報が十分に保障されていない
  - 学校や職場での配慮が一部にとどまっている
  - 社会全体の理解不足や偏見が依然として存在する
- 本論② 必要な環境整備
  - 情報保障：手話通訳や要約筆記、字幕サービスをあらゆる場面で利用可能にする
  - 公共機関・医療機関：窓口での筆談やタブレット対応を標準化
  - 災害・緊急時：映像通話や緊急速報の字幕化など、命を守る情報提供体制
  - ICTの活用：自動字幕・翻訳アプリなどを導入し、コミュニケーションの壁を減らす
- 本論③ 社会的意義
  - 聞こえない人の生活の質が向上し、自立と社会参加が進む
  - 配慮や技術は高齢者や外国人など他の人にも有益
  - 社会全体が「共生社会」に近づく
- 結論（まとめ）
  - 聞こえない人が暮らしやすい環境とは「いつでもどこでも情報にアクセスでき、安心して人とつながれる社会」である
  - 法律をきっかけに、社会全体が理解と実践を進めることが重要である</t>
    <phoneticPr fontId="2"/>
  </si>
  <si>
    <t>- 序論（導入）
  - 新しい仲間が加わる場面を想定し、配慮の必要性を示す
  - 例：「職場や学校に聴覚障害のある人が入ってきたとき、周囲の理解と配慮があれば、その人が力を発揮しやすくなる。」
- 本論① 情報保障の配慮
  - 会議や授業での手話通訳・要約筆記・字幕表示の用意
  - チャットツールやホワイトボードを使った文字による共有
  - 音声のみの連絡を避け、文書やメールを活用する
- 本論② コミュニケーション環境の工夫
  - 顔を見て話す、はっきりした口の動きで話す
  - 話す前に名前を呼んで注意を向ける
  - グループ作業や雑談でも、全員が意識して情報を伝える
- 本論③ 職場・学校環境での制度的配慮
  - 職務や授業内容を柔軟に調整し、不得手な部分はチームで補う
  - 研修や授業で障害理解を促す活動を行う
  - ICTの導入（自動字幕・翻訳アプリなど）で日常的に支援する
- 本論④ 社会的意義
  - 聴覚障害者が快適に働き・学べる環境は、他の人にとっても働きやすく学びやすい環境になる
  - 多様性を尊重する文化が根づくことで、組織全体が活性化する
- 結論（まとめ）
  - 必要なのは「情報保障」「コミュニケーションの工夫」「制度的な配慮」の三点である
  - これらを整えることで、聴覚障害者が快適に活動でき、共に成長する環境が実現する</t>
    <phoneticPr fontId="2"/>
  </si>
  <si>
    <t>1. 消える
2. 現れる
3. ひっぱる
4. 出る</t>
    <phoneticPr fontId="2"/>
  </si>
  <si>
    <t>触れて形が変えられるほど柔らかいものをつかんでいるしぐさ。手話単語【固い】にはさまざまな用法があるが【柔らかい】はそこまで複雑ではない印象がある。</t>
    <phoneticPr fontId="2"/>
  </si>
  <si>
    <t>昨年、同窓会で青森に車で行って、お城を見ました。夜は宿でお鍋に、キノコと、ごぼうと、さといもを入れて食べましたが、おいしかったです。</t>
    <phoneticPr fontId="2"/>
  </si>
  <si>
    <t>息子の運動会が延期になったのは何のためですか。</t>
    <rPh sb="0" eb="2">
      <t>ムスコ</t>
    </rPh>
    <phoneticPr fontId="2"/>
  </si>
  <si>
    <t>息子の運動会が台風で来週に延期になりました。</t>
    <rPh sb="0" eb="2">
      <t>ムスコ</t>
    </rPh>
    <phoneticPr fontId="2"/>
  </si>
  <si>
    <t>1. お寺
2. 実家
3. 公園
4. 山</t>
    <rPh sb="9" eb="11">
      <t>ジッカ</t>
    </rPh>
    <phoneticPr fontId="2"/>
  </si>
  <si>
    <t>毎日夜ご飯のあと、8時から1時間散歩します。</t>
    <rPh sb="2" eb="3">
      <t>ヨル</t>
    </rPh>
    <rPh sb="4" eb="5">
      <t>ハン</t>
    </rPh>
    <phoneticPr fontId="2"/>
  </si>
  <si>
    <t>週末に娘や友達と一緒にバーベキューをします。肉とイカを入れて焼きます。</t>
    <rPh sb="27" eb="28">
      <t>イ</t>
    </rPh>
    <rPh sb="30" eb="31">
      <t>ヤ</t>
    </rPh>
    <phoneticPr fontId="2"/>
  </si>
  <si>
    <t>MIewG7YS62g</t>
    <phoneticPr fontId="2"/>
  </si>
  <si>
    <t>fsfLZml4eT8</t>
    <phoneticPr fontId="2"/>
  </si>
  <si>
    <t>rabGy5ngcys</t>
    <phoneticPr fontId="2"/>
  </si>
  <si>
    <t>rPn3Uldxvrw</t>
    <phoneticPr fontId="2"/>
  </si>
  <si>
    <t>W2dxUvMdCgc</t>
    <phoneticPr fontId="2"/>
  </si>
  <si>
    <t>dGlQQJaMGLY</t>
    <phoneticPr fontId="2"/>
  </si>
  <si>
    <t>b-zFTAY6wDA</t>
    <phoneticPr fontId="2"/>
  </si>
  <si>
    <t>p88rtlri4BI</t>
    <phoneticPr fontId="2"/>
  </si>
  <si>
    <t>VWLowTue4bY</t>
    <phoneticPr fontId="2"/>
  </si>
  <si>
    <t>RXW3ef98HWI</t>
    <phoneticPr fontId="2"/>
  </si>
  <si>
    <t>aSVkK7ZWtwg</t>
    <phoneticPr fontId="2"/>
  </si>
  <si>
    <t>V-ZLyigm23Y</t>
    <phoneticPr fontId="2"/>
  </si>
  <si>
    <t>64-6ner0VzY</t>
    <phoneticPr fontId="2"/>
  </si>
  <si>
    <t>8UWR0U3nibI</t>
    <phoneticPr fontId="2"/>
  </si>
  <si>
    <t>JPaY4hQHg6k</t>
    <phoneticPr fontId="2"/>
  </si>
  <si>
    <t>A-wHiYEjZUE</t>
    <phoneticPr fontId="2"/>
  </si>
  <si>
    <t>11月の連休は家族で長崎に行きました。観光し、ソフトクリームを食べました。</t>
    <phoneticPr fontId="2"/>
  </si>
  <si>
    <t>P03OO1ThpUc</t>
    <phoneticPr fontId="2"/>
  </si>
  <si>
    <t>KX_PYJsDsIk</t>
    <phoneticPr fontId="2"/>
  </si>
  <si>
    <t>Y5jAyBwJy-Y</t>
    <phoneticPr fontId="2"/>
  </si>
  <si>
    <t>31WXy6GG4Gg</t>
    <phoneticPr fontId="2"/>
  </si>
  <si>
    <t>wKqJ70mPj-c</t>
    <phoneticPr fontId="2"/>
  </si>
  <si>
    <t>cyNJaX1ae_A</t>
    <phoneticPr fontId="2"/>
  </si>
  <si>
    <t>大学で絵を学びました。ふくろうの絵が得意です。文化祭に申し込んだら、賞状をもらいました。</t>
    <phoneticPr fontId="2"/>
  </si>
  <si>
    <t>VMJB4XuLwRM</t>
    <phoneticPr fontId="2"/>
  </si>
  <si>
    <t>nrWSd_Viugk</t>
    <phoneticPr fontId="2"/>
  </si>
  <si>
    <t>sTczZZnesyA</t>
    <phoneticPr fontId="2"/>
  </si>
  <si>
    <t>qNPRz3dAEHY</t>
    <phoneticPr fontId="2"/>
  </si>
  <si>
    <t>母は心臓病で月1回通院しています。今月は結果を聞くので夫が付き添います。</t>
    <phoneticPr fontId="2"/>
  </si>
  <si>
    <t>Tg4OKGpeu20</t>
    <phoneticPr fontId="2"/>
  </si>
  <si>
    <t>url</t>
  </si>
  <si>
    <t>h1_text</t>
  </si>
  <si>
    <t>https://chuohoki.socialcast.jp/contents/1033</t>
  </si>
  <si>
    <t>https://chuohoki.socialcast.jp/contents/1034</t>
  </si>
  <si>
    <t>https://chuohoki.socialcast.jp/contents/1035</t>
  </si>
  <si>
    <t>https://chuohoki.socialcast.jp/contents/1036</t>
  </si>
  <si>
    <t>https://chuohoki.socialcast.jp/contents/1037</t>
  </si>
  <si>
    <t>https://chuohoki.socialcast.jp/contents/1038</t>
  </si>
  <si>
    <t>https://chuohoki.socialcast.jp/contents/1039</t>
  </si>
  <si>
    <t>https://chuohoki.socialcast.jp/contents/1040</t>
  </si>
  <si>
    <t>https://chuohoki.socialcast.jp/contents/1041</t>
  </si>
  <si>
    <t>https://chuohoki.socialcast.jp/contents/1042</t>
  </si>
  <si>
    <t>https://chuohoki.socialcast.jp/contents/1043</t>
  </si>
  <si>
    <t>https://chuohoki.socialcast.jp/contents/1044</t>
  </si>
  <si>
    <t>https://chuohoki.socialcast.jp/contents/1045</t>
  </si>
  <si>
    <t>https://chuohoki.socialcast.jp/contents/1047</t>
  </si>
  <si>
    <t>https://chuohoki.socialcast.jp/contents/1048</t>
  </si>
  <si>
    <t>https://chuohoki.socialcast.jp/contents/1050</t>
  </si>
  <si>
    <t>https://chuohoki.socialcast.jp/contents/1052</t>
  </si>
  <si>
    <t>5級 基本単語の読み取り</t>
  </si>
  <si>
    <t>5級 短文の読み取り</t>
  </si>
  <si>
    <t>5級 手話での表現と手話での会話参考解答①</t>
  </si>
  <si>
    <t>5級 手話での表現と手話での会話参考解答②</t>
  </si>
  <si>
    <t>4級 基本単語の読み取り</t>
  </si>
  <si>
    <t>4級 短文の読み取り</t>
  </si>
  <si>
    <t>4級 手話での表現と手話での会話参考解答①</t>
  </si>
  <si>
    <t>4級 手話での表現と手話での会話参考解答②</t>
  </si>
  <si>
    <t>3級 基本単語の読み取り</t>
  </si>
  <si>
    <t>3級 短文の読み取り</t>
  </si>
  <si>
    <t>3級 手話での表現と手話での会話参考解答①</t>
  </si>
  <si>
    <t>3級 手話での表現と手話での会話参考解答②</t>
  </si>
  <si>
    <t>2級 基本単語の読み取り</t>
  </si>
  <si>
    <t>2級 ストーリーの読み取り</t>
  </si>
  <si>
    <t>2級 手話での表現と手話での会話参考解答①</t>
  </si>
  <si>
    <t>準1級 基本単語の読み取り</t>
  </si>
  <si>
    <t>準1級 ストーリーの読み取り</t>
  </si>
  <si>
    <t>準1級 手話での表現と手話での会話参考解答①</t>
  </si>
  <si>
    <t>1級 ストーリーの読み取り</t>
  </si>
  <si>
    <t>1級 手話での表現と手話での会話参考解答①</t>
  </si>
  <si>
    <t>https://chuohoki.socialcast.jp/contents/1046</t>
    <phoneticPr fontId="2"/>
  </si>
  <si>
    <t>https://chuohoki.socialcast.jp/contents/1049</t>
    <phoneticPr fontId="2"/>
  </si>
  <si>
    <t>https://chuohoki.socialcast.jp/contents/1051</t>
    <phoneticPr fontId="2"/>
  </si>
  <si>
    <t>レク＝れ+楽しい</t>
    <rPh sb="5" eb="6">
      <t>タノ</t>
    </rPh>
    <phoneticPr fontId="2"/>
  </si>
  <si>
    <t>牛+焼肉</t>
    <rPh sb="0" eb="1">
      <t>ウシ</t>
    </rPh>
    <rPh sb="2" eb="4">
      <t>ヤキニク</t>
    </rPh>
    <phoneticPr fontId="2"/>
  </si>
  <si>
    <t>いらっしゃいの逆で送る</t>
    <rPh sb="7" eb="8">
      <t>ギャク</t>
    </rPh>
    <rPh sb="9" eb="10">
      <t>オク</t>
    </rPh>
    <phoneticPr fontId="2"/>
  </si>
  <si>
    <t>皆さん、ミカンやリンゴ等の果物は好きですか。私は血圧が高いために降圧剤を飲んでいます。グレープフルーツは薬との関係で控えたほうがよいらしいです。医学については具体的なことはわかりませんが、以前、胃潰瘍や頸肩腕障害にもかかりました。今後は自分の人生を真面目に考えて、健康に気をつけたいと思います。</t>
    <rPh sb="101" eb="106">
      <t>ケイケンワンショウガイ</t>
    </rPh>
    <phoneticPr fontId="2"/>
  </si>
  <si>
    <t>私は以前、コンピューター関係の仕事をしていました。介護福祉士の資格を取り、今は、介護施設で働いています。私の好きな仕事はレクリエーションを考えて、それをやってみることです。利用者の方の笑顔を見ることが、一番嬉しいです。</t>
    <rPh sb="103" eb="104">
      <t>ウレ</t>
    </rPh>
    <phoneticPr fontId="2"/>
  </si>
  <si>
    <t>1. すき焼き
2. 焼肉大会
3. フォーラム
4. 講演会</t>
    <phoneticPr fontId="2"/>
  </si>
  <si>
    <t>1. コンピューター関係
2. ラジコン関係
3. 金融関係
4. 看護師</t>
    <rPh sb="10" eb="12">
      <t>カンケイ</t>
    </rPh>
    <rPh sb="20" eb="22">
      <t>カンケイ</t>
    </rPh>
    <rPh sb="26" eb="30">
      <t>キンユウカンケイ</t>
    </rPh>
    <phoneticPr fontId="2"/>
  </si>
  <si>
    <t>1. 食事の準備
2. エンターテイメント
3. レクリエーション
4. 書類作成</t>
    <phoneticPr fontId="2"/>
  </si>
  <si>
    <t>私は何に興味がなかったのですか。</t>
    <rPh sb="0" eb="2">
      <t>ウァ</t>
    </rPh>
    <rPh sb="2" eb="3">
      <t>ナニ</t>
    </rPh>
    <rPh sb="4" eb="6">
      <t>キョウミ</t>
    </rPh>
    <phoneticPr fontId="2"/>
  </si>
  <si>
    <t>v-2Jweg_t9g</t>
    <phoneticPr fontId="2"/>
  </si>
  <si>
    <t>FnmwEPVkbro</t>
    <phoneticPr fontId="2"/>
  </si>
  <si>
    <t>QP69R51FYmg</t>
    <phoneticPr fontId="2"/>
  </si>
  <si>
    <t>1. 地震
2. 避難訓練
3. 火事
4. 危険</t>
    <phoneticPr fontId="2"/>
  </si>
  <si>
    <t>1. 泣いた
2. 遅刻した
3. 買い物した
4. 寝た</t>
    <rPh sb="18" eb="19">
      <t>カ</t>
    </rPh>
    <rPh sb="20" eb="21">
      <t>モノ</t>
    </rPh>
    <rPh sb="27" eb="28">
      <t>ネ</t>
    </rPh>
    <phoneticPr fontId="2"/>
  </si>
  <si>
    <t>rVzbvZ33qSk</t>
    <phoneticPr fontId="2"/>
  </si>
  <si>
    <t>1. 見た目では判断できないから
2. 声が小さいから
3. 話さないから
4. 合図をしないから</t>
    <rPh sb="8" eb="12">
      <t>ハンダンdケイ</t>
    </rPh>
    <phoneticPr fontId="2"/>
  </si>
  <si>
    <t>58_AbWNmkzQ</t>
    <phoneticPr fontId="2"/>
  </si>
  <si>
    <t>1. 全額負担
2. 店が負担
3. 割り勘
4. クーポンを使った</t>
    <phoneticPr fontId="2"/>
  </si>
  <si>
    <t>CbCvxCe3PVk</t>
    <phoneticPr fontId="2"/>
  </si>
  <si>
    <t>私は何に驚いたのですか。</t>
    <rPh sb="0" eb="2">
      <t>ウァ</t>
    </rPh>
    <rPh sb="2" eb="5">
      <t>ナニニオドロ</t>
    </rPh>
    <phoneticPr fontId="2"/>
  </si>
  <si>
    <t>1. 学校
2. 卒業式
3. 入学式
4. 教習所</t>
    <rPh sb="3" eb="5">
      <t>ガッコウ</t>
    </rPh>
    <rPh sb="16" eb="19">
      <t>ニュウガクシキ</t>
    </rPh>
    <rPh sb="23" eb="26">
      <t>キョウシュウジョ</t>
    </rPh>
    <phoneticPr fontId="2"/>
  </si>
  <si>
    <t>Kxq1Up0oMrQ</t>
    <phoneticPr fontId="2"/>
  </si>
  <si>
    <t>1. サッカー
2. 野球
3. テニス
4. バレーボール</t>
    <rPh sb="11" eb="13">
      <t>ヤキュウ</t>
    </rPh>
    <phoneticPr fontId="2"/>
  </si>
  <si>
    <t>私は博物館で、希望に応じて展示や施設等について解説するボランティア活動をしています。お客様に対しては、手話で案内の支援もしています。また、江戸時代以前のヨーロッパの価値ある文化財を手話で解説した動画を見ることができる取り組みもしています。手話での情報保障は大切ですね。今ではボランティア活動が私の人生の生きがいです。</t>
    <rPh sb="148" eb="150">
      <t>ジンセイ</t>
    </rPh>
    <phoneticPr fontId="2"/>
  </si>
  <si>
    <t>中学に入学した長男の修学旅行の経費のお知らせがきた。コロナ禍で修学旅行に行けなかった先輩たちを考えると、お金では買えない貴重な経験をさせたいと思うのは親心だ。学校と塾、2つの習い事の経費に、毎月6千円の積立てが加わるのは厳しい。教育費の足しに、パートの勤務時間を長くしてもらえるか申し出てみた。スマホのアプリを使って、空いた時間にできるアルバイトを探そうと思う。</t>
    <rPh sb="98" eb="99">
      <t>セン</t>
    </rPh>
    <phoneticPr fontId="2"/>
  </si>
  <si>
    <t>今年は防災士に依頼して講演会を行いました。令和6年1月1日能登半島地震が発生したことをきっかけに催されました。地震発生当時の状況や避難すべき地域かどうか、パニックにならないで、行動をしてほしいと話されました。次はハザードマップの説明でした。自分の住む地域にどんな危険があるか、雨による増水や土砂崩れの心配はないかなどよく知っておくことということです。最後に防災の備えについて勉強しました。1981年6月から施行された新耐震基準で建てられた家かどうかを確認する必要があることの話はとても勉強になりました。</t>
    <phoneticPr fontId="2"/>
  </si>
  <si>
    <t>1. 日本の伝統工芸品
2. アジアの文化遺産
3. ヨーロッパの文化財
4. 現代美術の作品</t>
    <phoneticPr fontId="2"/>
  </si>
  <si>
    <t>1. 食生活
2. 健康
3. 運動習慣
4. 薬の服用</t>
    <phoneticPr fontId="2"/>
  </si>
  <si>
    <t>1. デイサービスを利用する
2. 病院で再検査を受ける
3. 引っ越しの準備をする
4. 介護保険の手続きをしに行く</t>
    <phoneticPr fontId="2"/>
  </si>
  <si>
    <t>1. 空いた時間のアルバイト 
2. 習い事を減らすこと 
3. 仕事時間の延長
4. 親戚に援助を依頼</t>
    <phoneticPr fontId="2"/>
  </si>
  <si>
    <t>申し出たことは何ですか？</t>
    <phoneticPr fontId="2"/>
  </si>
  <si>
    <t>1. 新耐震基準
2. 家の広さ 
3. 家族構成 
4. 火災保険加入の有無</t>
    <phoneticPr fontId="2"/>
  </si>
  <si>
    <t>地震の次に話があったのは何についてですか。</t>
    <rPh sb="0" eb="2">
      <t>ジシン</t>
    </rPh>
    <rPh sb="3" eb="4">
      <t>ツギ</t>
    </rPh>
    <rPh sb="5" eb="6">
      <t>ハナシ</t>
    </rPh>
    <rPh sb="12" eb="13">
      <t>ナニ</t>
    </rPh>
    <phoneticPr fontId="2"/>
  </si>
  <si>
    <t>1. 非常識について
2. 避難場所について 
3. 耐震基準について
4. ハザードマップについて</t>
    <rPh sb="3" eb="6">
      <t>ヒジョウシキ</t>
    </rPh>
    <rPh sb="14" eb="18">
      <t>ヒナンバショ</t>
    </rPh>
    <rPh sb="27" eb="31">
      <t>タイシンキジュン</t>
    </rPh>
    <phoneticPr fontId="2"/>
  </si>
  <si>
    <t>3hcm663ysUA</t>
    <phoneticPr fontId="2"/>
  </si>
  <si>
    <t>1. 動物園で働いている
2. 博物館でボランティア
3. 手話サークルに所属している
4. 学校で講師をしている</t>
    <phoneticPr fontId="2"/>
  </si>
  <si>
    <t>YXcw1P-ZZPI</t>
    <phoneticPr fontId="2"/>
  </si>
  <si>
    <t>EIX3v4u3Rhc</t>
    <phoneticPr fontId="2"/>
  </si>
  <si>
    <t>GlHvox1CdXI</t>
    <phoneticPr fontId="2"/>
  </si>
  <si>
    <t>Pz_rI0vdRzM</t>
    <phoneticPr fontId="2"/>
  </si>
  <si>
    <t>1. スポーツ観戦 
2. 修学旅行
3. 家族旅行 
4. 学校祭</t>
    <rPh sb="14" eb="18">
      <t>シュウガクリョコウ</t>
    </rPh>
    <phoneticPr fontId="2"/>
  </si>
  <si>
    <t>o0V7-hXkYXs</t>
    <phoneticPr fontId="2"/>
  </si>
  <si>
    <t>muMwlOt5JJY</t>
    <phoneticPr fontId="2"/>
  </si>
  <si>
    <t>1. おしゃれ
2. 映画
3. 同僚
4. 先生</t>
    <rPh sb="11" eb="13">
      <t>エイガ</t>
    </rPh>
    <phoneticPr fontId="2"/>
  </si>
  <si>
    <t>1. 制度
2. 準拠
3. 規則
4. 約束</t>
    <rPh sb="9" eb="11">
      <t>ジュンキョ</t>
    </rPh>
    <phoneticPr fontId="2"/>
  </si>
  <si>
    <t>1. 明るい
2. 天気
3. 雨
4. 晴れ</t>
    <rPh sb="3" eb="4">
      <t>アカ</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</si>
</sst>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Yu Gothic"/>
      <family val="2"/>
      <scheme val="minor"/>
    </font>
    <font>
      <sz val="11"/>
      <color theme="1"/>
      <name val="meiryo ui"/>
      <family val="2"/>
      <charset val="128"/>
    </font>
    <font>
      <sz val="6"/>
      <name val="Yu Gothic"/>
      <family val="3"/>
      <charset val="128"/>
      <scheme val="minor"/>
    </font>
    <font>
      <sz val="11"/>
      <color theme="1"/>
      <name val="Meiryo UI"/>
      <family val="3"/>
      <charset val="128"/>
    </font>
    <font>
      <sz val="11"/>
      <color theme="1"/>
      <name val="Segoe UI Symbol"/>
      <family val="3"/>
    </font>
    <font>
      <u/>
      <sz val="11"/>
      <color theme="10"/>
      <name val="Yu Gothic"/>
      <family val="2"/>
      <scheme val="minor"/>
    </font>
  </fonts>
  <fills count="6">
    <fill>
      <patternFill patternType="none"/>
    </fill>
    <fill>
      <patternFill patternType="gray125"/>
    </fill>
    <fill>
      <patternFill patternType="solid">
        <fgColor theme="5" tint="0.79998168889431442"/>
        <bgColor indexed="64"/>
      </patternFill>
    </fill>
    <fill>
      <patternFill patternType="solid">
        <fgColor theme="8" tint="0.59999389629810485"/>
        <bgColor indexed="64"/>
      </patternFill>
    </fill>
    <fill>
      <patternFill patternType="solid">
        <fgColor theme="7" tint="0.79998168889431442"/>
        <bgColor indexed="64"/>
      </patternFill>
    </fill>
    <fill>
      <patternFill patternType="solid">
        <fgColor theme="7"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 fillId="0" borderId="0">
      <alignment vertical="center"/>
    </xf>
    <xf numFmtId="0" fontId="5" fillId="0" borderId="0" applyNumberFormat="0" applyFill="0" applyBorder="0" applyAlignment="0" applyProtection="0"/>
  </cellStyleXfs>
  <cellXfs count="19">
    <xf numFmtId="0" fontId="0" fillId="0" borderId="0" xfId="0"/>
    <xf numFmtId="0" fontId="3" fillId="0" borderId="1" xfId="0" applyFont="1" applyBorder="1" applyAlignment="1">
      <alignment horizontal="left" vertical="top"/>
    </xf>
    <xf numFmtId="0" fontId="3" fillId="0" borderId="1" xfId="0" applyFont="1" applyBorder="1" applyAlignment="1">
      <alignment horizontal="left" vertical="top" wrapText="1"/>
    </xf>
    <xf numFmtId="0" fontId="0" fillId="0" borderId="1" xfId="0" applyBorder="1" applyAlignment="1">
      <alignment horizontal="left" vertical="top" wrapText="1"/>
    </xf>
    <xf numFmtId="0" fontId="0" fillId="0" borderId="1" xfId="0" applyBorder="1" applyAlignment="1">
      <alignment horizontal="left" vertical="top"/>
    </xf>
    <xf numFmtId="0" fontId="3" fillId="0" borderId="0" xfId="0" applyFont="1" applyAlignment="1">
      <alignment horizontal="left" vertical="top"/>
    </xf>
    <xf numFmtId="0" fontId="0" fillId="0" borderId="0" xfId="0" applyAlignment="1">
      <alignment horizontal="left" vertical="top"/>
    </xf>
    <xf numFmtId="0" fontId="3" fillId="0" borderId="0" xfId="0" applyFont="1" applyAlignment="1">
      <alignment horizontal="left" vertical="top" wrapText="1"/>
    </xf>
    <xf numFmtId="0" fontId="3" fillId="2" borderId="1" xfId="0" applyFont="1" applyFill="1" applyBorder="1" applyAlignment="1">
      <alignment horizontal="left" vertical="top" wrapText="1"/>
    </xf>
    <xf numFmtId="49" fontId="3" fillId="0" borderId="1" xfId="0" applyNumberFormat="1" applyFont="1" applyBorder="1" applyAlignment="1">
      <alignment horizontal="left" vertical="top"/>
    </xf>
    <xf numFmtId="49" fontId="3" fillId="0" borderId="0" xfId="0" applyNumberFormat="1" applyFont="1" applyAlignment="1">
      <alignment horizontal="left" vertical="top"/>
    </xf>
    <xf numFmtId="49" fontId="3" fillId="0" borderId="1" xfId="0" applyNumberFormat="1" applyFont="1" applyBorder="1" applyAlignment="1">
      <alignment horizontal="left" vertical="top" wrapText="1"/>
    </xf>
    <xf numFmtId="49" fontId="3" fillId="0" borderId="0" xfId="0" applyNumberFormat="1" applyFont="1" applyAlignment="1">
      <alignment horizontal="left" vertical="top" wrapText="1"/>
    </xf>
    <xf numFmtId="0" fontId="3" fillId="3" borderId="1" xfId="0" applyFont="1" applyFill="1" applyBorder="1" applyAlignment="1">
      <alignment horizontal="left" vertical="top" wrapText="1"/>
    </xf>
    <xf numFmtId="0" fontId="3" fillId="4" borderId="1" xfId="0" applyFont="1" applyFill="1" applyBorder="1" applyAlignment="1">
      <alignment horizontal="left" vertical="top" wrapText="1"/>
    </xf>
    <xf numFmtId="0" fontId="5" fillId="0" borderId="0" xfId="2"/>
    <xf numFmtId="0" fontId="3" fillId="5" borderId="1" xfId="0" applyFont="1" applyFill="1" applyBorder="1" applyAlignment="1">
      <alignment horizontal="left" vertical="top"/>
    </xf>
    <xf numFmtId="0" fontId="3" fillId="5" borderId="1" xfId="0" applyFont="1" applyFill="1" applyBorder="1" applyAlignment="1">
      <alignment horizontal="left" vertical="top" wrapText="1"/>
    </xf>
    <xf numFmtId="0" fontId="3" fillId="5" borderId="0" xfId="0" applyFont="1" applyFill="1" applyAlignment="1">
      <alignment horizontal="left" vertical="top"/>
    </xf>
  </cellXfs>
  <cellStyles count="3">
    <cellStyle name="ハイパーリンク" xfId="2" builtinId="8"/>
    <cellStyle name="標準" xfId="0" builtinId="0"/>
    <cellStyle name="標準 2" xfId="1" xr:uid="{3D615A97-C40C-4B55-8C47-5BA507E13F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youtu.be/yzKVaRFlHg0"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chuohoki.socialcast.jp/contents/1051" TargetMode="External"/><Relationship Id="rId2" Type="http://schemas.openxmlformats.org/officeDocument/2006/relationships/hyperlink" Target="https://chuohoki.socialcast.jp/contents/1049" TargetMode="External"/><Relationship Id="rId1" Type="http://schemas.openxmlformats.org/officeDocument/2006/relationships/hyperlink" Target="https://chuohoki.socialcast.jp/contents/104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6B432B-FD1A-465A-996A-D68068EA881F}">
  <sheetPr codeName="Sheet1" filterMode="1"/>
  <dimension ref="A1:K317"/>
  <sheetViews>
    <sheetView showGridLines="0" tabSelected="1" zoomScale="85" zoomScaleNormal="85" workbookViewId="0">
      <pane ySplit="1" topLeftCell="A248" activePane="bottomLeft" state="frozen"/>
      <selection pane="bottomLeft" activeCell="F249" sqref="F249"/>
    </sheetView>
  </sheetViews>
  <sheetFormatPr defaultColWidth="9" defaultRowHeight="15.75" outlineLevelCol="1"/>
  <cols>
    <col min="1" max="1" width="5.25" style="5" bestFit="1" customWidth="1"/>
    <col min="2" max="2" width="9.875" style="5" customWidth="1" outlineLevel="1"/>
    <col min="3" max="3" width="8.5" style="5" customWidth="1" outlineLevel="1"/>
    <col min="4" max="4" width="9.25" style="5" customWidth="1" outlineLevel="1"/>
    <col min="5" max="5" width="20.125" style="5" customWidth="1" outlineLevel="1"/>
    <col min="6" max="6" width="39.5" style="5" customWidth="1" outlineLevel="1"/>
    <col min="7" max="7" width="40.75" style="5" customWidth="1" outlineLevel="1"/>
    <col min="8" max="8" width="10.375" style="5" customWidth="1" outlineLevel="1"/>
    <col min="9" max="9" width="39.875" style="10" customWidth="1"/>
    <col min="10" max="10" width="57.625" style="7" bestFit="1" customWidth="1"/>
    <col min="11" max="16384" width="9" style="5"/>
  </cols>
  <sheetData>
    <row r="1" spans="1:11">
      <c r="A1" s="1" t="s">
        <v>0</v>
      </c>
      <c r="B1" s="1" t="s">
        <v>154</v>
      </c>
      <c r="C1" s="1" t="s">
        <v>1</v>
      </c>
      <c r="D1" s="1" t="s">
        <v>155</v>
      </c>
      <c r="E1" s="1" t="s">
        <v>259</v>
      </c>
      <c r="F1" s="1" t="s">
        <v>2</v>
      </c>
      <c r="G1" s="1" t="s">
        <v>211</v>
      </c>
      <c r="H1" s="1" t="s">
        <v>199</v>
      </c>
      <c r="I1" s="9" t="s">
        <v>3</v>
      </c>
      <c r="J1" s="2" t="s">
        <v>307</v>
      </c>
      <c r="K1" s="1" t="s">
        <v>399</v>
      </c>
    </row>
    <row r="2" spans="1:11" s="6" customFormat="1" ht="168.75" hidden="1">
      <c r="A2" s="1">
        <f t="shared" ref="A2:A37" si="0">ROW()-1</f>
        <v>1</v>
      </c>
      <c r="B2" s="1" t="s">
        <v>156</v>
      </c>
      <c r="C2" s="1">
        <v>5</v>
      </c>
      <c r="D2" s="1" t="s">
        <v>193</v>
      </c>
      <c r="E2" s="1" t="str">
        <f>IF(D2="ストーリー", INT((COUNTIF($D$2:D2, "ストーリー")-1)/3) + 1, "NA")</f>
        <v>NA</v>
      </c>
      <c r="F2" s="1" t="s">
        <v>72</v>
      </c>
      <c r="G2" s="1"/>
      <c r="H2" s="1"/>
      <c r="I2" s="1"/>
      <c r="J2" s="3" t="s">
        <v>410</v>
      </c>
      <c r="K2" s="4" t="s">
        <v>400</v>
      </c>
    </row>
    <row r="3" spans="1:11" s="6" customFormat="1" ht="150" hidden="1">
      <c r="A3" s="1">
        <f t="shared" si="0"/>
        <v>2</v>
      </c>
      <c r="B3" s="1" t="s">
        <v>156</v>
      </c>
      <c r="C3" s="1">
        <v>5</v>
      </c>
      <c r="D3" s="1" t="s">
        <v>193</v>
      </c>
      <c r="E3" s="1" t="str">
        <f>IF(D3="ストーリー", INT((COUNTIF($D$2:D3, "ストーリー")-1)/3) + 1, "NA")</f>
        <v>NA</v>
      </c>
      <c r="F3" s="1" t="s">
        <v>74</v>
      </c>
      <c r="G3" s="1"/>
      <c r="H3" s="1"/>
      <c r="I3" s="1"/>
      <c r="J3" s="3" t="s">
        <v>411</v>
      </c>
      <c r="K3" s="4" t="s">
        <v>400</v>
      </c>
    </row>
    <row r="4" spans="1:11" s="6" customFormat="1" ht="93.75" hidden="1">
      <c r="A4" s="1">
        <f t="shared" si="0"/>
        <v>3</v>
      </c>
      <c r="B4" s="1" t="s">
        <v>156</v>
      </c>
      <c r="C4" s="1">
        <v>5</v>
      </c>
      <c r="D4" s="1" t="s">
        <v>193</v>
      </c>
      <c r="E4" s="1" t="str">
        <f>IF(D4="ストーリー", INT((COUNTIF($D$2:D4, "ストーリー")-1)/3) + 1, "NA")</f>
        <v>NA</v>
      </c>
      <c r="F4" s="1" t="s">
        <v>75</v>
      </c>
      <c r="G4" s="1"/>
      <c r="H4" s="1"/>
      <c r="I4" s="1"/>
      <c r="J4" s="3" t="s">
        <v>412</v>
      </c>
      <c r="K4" s="4" t="s">
        <v>400</v>
      </c>
    </row>
    <row r="5" spans="1:11" s="6" customFormat="1" ht="112.5" hidden="1">
      <c r="A5" s="1">
        <f t="shared" si="0"/>
        <v>4</v>
      </c>
      <c r="B5" s="1" t="s">
        <v>156</v>
      </c>
      <c r="C5" s="1">
        <v>5</v>
      </c>
      <c r="D5" s="1" t="s">
        <v>193</v>
      </c>
      <c r="E5" s="1" t="str">
        <f>IF(D5="ストーリー", INT((COUNTIF($D$2:D5, "ストーリー")-1)/3) + 1, "NA")</f>
        <v>NA</v>
      </c>
      <c r="F5" s="1" t="s">
        <v>76</v>
      </c>
      <c r="G5" s="1"/>
      <c r="H5" s="1"/>
      <c r="I5" s="1"/>
      <c r="J5" s="3" t="s">
        <v>413</v>
      </c>
      <c r="K5" s="4" t="s">
        <v>400</v>
      </c>
    </row>
    <row r="6" spans="1:11" s="6" customFormat="1" ht="112.5" hidden="1">
      <c r="A6" s="1">
        <f t="shared" si="0"/>
        <v>5</v>
      </c>
      <c r="B6" s="1" t="s">
        <v>156</v>
      </c>
      <c r="C6" s="1">
        <v>5</v>
      </c>
      <c r="D6" s="1" t="s">
        <v>193</v>
      </c>
      <c r="E6" s="1" t="str">
        <f>IF(D6="ストーリー", INT((COUNTIF($D$2:D6, "ストーリー")-1)/3) + 1, "NA")</f>
        <v>NA</v>
      </c>
      <c r="F6" s="1" t="s">
        <v>77</v>
      </c>
      <c r="G6" s="1"/>
      <c r="H6" s="1"/>
      <c r="I6" s="1"/>
      <c r="J6" s="3" t="s">
        <v>414</v>
      </c>
      <c r="K6" s="4" t="s">
        <v>400</v>
      </c>
    </row>
    <row r="7" spans="1:11" s="6" customFormat="1" ht="168.75" hidden="1">
      <c r="A7" s="1">
        <f t="shared" si="0"/>
        <v>6</v>
      </c>
      <c r="B7" s="1" t="s">
        <v>156</v>
      </c>
      <c r="C7" s="1">
        <v>5</v>
      </c>
      <c r="D7" s="1" t="s">
        <v>193</v>
      </c>
      <c r="E7" s="1" t="str">
        <f>IF(D7="ストーリー", INT((COUNTIF($D$2:D7, "ストーリー")-1)/3) + 1, "NA")</f>
        <v>NA</v>
      </c>
      <c r="F7" s="1" t="s">
        <v>78</v>
      </c>
      <c r="G7" s="1"/>
      <c r="H7" s="1"/>
      <c r="I7" s="1"/>
      <c r="J7" s="3" t="s">
        <v>415</v>
      </c>
      <c r="K7" s="4" t="s">
        <v>400</v>
      </c>
    </row>
    <row r="8" spans="1:11" s="6" customFormat="1" ht="150" hidden="1">
      <c r="A8" s="1">
        <f t="shared" si="0"/>
        <v>7</v>
      </c>
      <c r="B8" s="1" t="s">
        <v>156</v>
      </c>
      <c r="C8" s="1">
        <v>5</v>
      </c>
      <c r="D8" s="1" t="s">
        <v>193</v>
      </c>
      <c r="E8" s="1" t="str">
        <f>IF(D8="ストーリー", INT((COUNTIF($D$2:D8, "ストーリー")-1)/3) + 1, "NA")</f>
        <v>NA</v>
      </c>
      <c r="F8" s="1" t="s">
        <v>79</v>
      </c>
      <c r="G8" s="1"/>
      <c r="H8" s="1"/>
      <c r="I8" s="1"/>
      <c r="J8" s="3" t="s">
        <v>416</v>
      </c>
      <c r="K8" s="4" t="s">
        <v>400</v>
      </c>
    </row>
    <row r="9" spans="1:11" s="6" customFormat="1" ht="93.75" hidden="1">
      <c r="A9" s="1">
        <f>ROW()-1</f>
        <v>8</v>
      </c>
      <c r="B9" s="1" t="s">
        <v>156</v>
      </c>
      <c r="C9" s="1">
        <v>4</v>
      </c>
      <c r="D9" s="1" t="s">
        <v>193</v>
      </c>
      <c r="E9" s="1" t="str">
        <f>IF(D9="ストーリー", INT((COUNTIF($D$2:D9, "ストーリー")-1)/3) + 1, "NA")</f>
        <v>NA</v>
      </c>
      <c r="F9" s="1" t="s">
        <v>4</v>
      </c>
      <c r="G9" s="1"/>
      <c r="H9" s="1"/>
      <c r="I9" s="1"/>
      <c r="J9" s="3" t="s">
        <v>417</v>
      </c>
      <c r="K9" s="4" t="s">
        <v>400</v>
      </c>
    </row>
    <row r="10" spans="1:11" s="6" customFormat="1" ht="93.75" hidden="1">
      <c r="A10" s="1">
        <f t="shared" ref="A10:A75" si="1">ROW()-1</f>
        <v>9</v>
      </c>
      <c r="B10" s="1" t="s">
        <v>156</v>
      </c>
      <c r="C10" s="1">
        <v>4</v>
      </c>
      <c r="D10" s="1" t="s">
        <v>193</v>
      </c>
      <c r="E10" s="1" t="str">
        <f>IF(D10="ストーリー", INT((COUNTIF($D$2:D10, "ストーリー")-1)/3) + 1, "NA")</f>
        <v>NA</v>
      </c>
      <c r="F10" s="1" t="s">
        <v>5</v>
      </c>
      <c r="G10" s="1"/>
      <c r="H10" s="1"/>
      <c r="I10" s="1"/>
      <c r="J10" s="3" t="s">
        <v>418</v>
      </c>
      <c r="K10" s="4" t="s">
        <v>400</v>
      </c>
    </row>
    <row r="11" spans="1:11" s="6" customFormat="1" ht="75" hidden="1">
      <c r="A11" s="1">
        <f t="shared" si="1"/>
        <v>10</v>
      </c>
      <c r="B11" s="1" t="s">
        <v>156</v>
      </c>
      <c r="C11" s="1">
        <v>4</v>
      </c>
      <c r="D11" s="1" t="s">
        <v>193</v>
      </c>
      <c r="E11" s="1" t="str">
        <f>IF(D11="ストーリー", INT((COUNTIF($D$2:D11, "ストーリー")-1)/3) + 1, "NA")</f>
        <v>NA</v>
      </c>
      <c r="F11" s="1" t="s">
        <v>6</v>
      </c>
      <c r="G11" s="1"/>
      <c r="H11" s="1"/>
      <c r="I11" s="1"/>
      <c r="J11" s="3" t="s">
        <v>419</v>
      </c>
      <c r="K11" s="4" t="s">
        <v>400</v>
      </c>
    </row>
    <row r="12" spans="1:11" s="6" customFormat="1" ht="93.75" hidden="1">
      <c r="A12" s="1">
        <f t="shared" si="1"/>
        <v>11</v>
      </c>
      <c r="B12" s="1" t="s">
        <v>156</v>
      </c>
      <c r="C12" s="1">
        <v>4</v>
      </c>
      <c r="D12" s="1" t="s">
        <v>193</v>
      </c>
      <c r="E12" s="1" t="str">
        <f>IF(D12="ストーリー", INT((COUNTIF($D$2:D12, "ストーリー")-1)/3) + 1, "NA")</f>
        <v>NA</v>
      </c>
      <c r="F12" s="1" t="s">
        <v>7</v>
      </c>
      <c r="G12" s="1"/>
      <c r="H12" s="1"/>
      <c r="I12" s="1"/>
      <c r="J12" s="3" t="s">
        <v>420</v>
      </c>
      <c r="K12" s="4" t="s">
        <v>400</v>
      </c>
    </row>
    <row r="13" spans="1:11" s="6" customFormat="1" ht="93.75" hidden="1">
      <c r="A13" s="1">
        <f t="shared" si="1"/>
        <v>12</v>
      </c>
      <c r="B13" s="1" t="s">
        <v>156</v>
      </c>
      <c r="C13" s="1">
        <v>4</v>
      </c>
      <c r="D13" s="1" t="s">
        <v>193</v>
      </c>
      <c r="E13" s="1" t="str">
        <f>IF(D13="ストーリー", INT((COUNTIF($D$2:D13, "ストーリー")-1)/3) + 1, "NA")</f>
        <v>NA</v>
      </c>
      <c r="F13" s="1" t="s">
        <v>8</v>
      </c>
      <c r="G13" s="1"/>
      <c r="H13" s="1"/>
      <c r="I13" s="1"/>
      <c r="J13" s="3" t="s">
        <v>421</v>
      </c>
      <c r="K13" s="4" t="s">
        <v>400</v>
      </c>
    </row>
    <row r="14" spans="1:11" s="6" customFormat="1" ht="75" hidden="1">
      <c r="A14" s="1">
        <f t="shared" si="1"/>
        <v>13</v>
      </c>
      <c r="B14" s="1" t="s">
        <v>156</v>
      </c>
      <c r="C14" s="1">
        <v>4</v>
      </c>
      <c r="D14" s="1" t="s">
        <v>193</v>
      </c>
      <c r="E14" s="1" t="str">
        <f>IF(D14="ストーリー", INT((COUNTIF($D$2:D14, "ストーリー")-1)/3) + 1, "NA")</f>
        <v>NA</v>
      </c>
      <c r="F14" s="1" t="s">
        <v>9</v>
      </c>
      <c r="G14" s="1"/>
      <c r="H14" s="1"/>
      <c r="I14" s="1"/>
      <c r="J14" s="3" t="s">
        <v>422</v>
      </c>
      <c r="K14" s="4" t="s">
        <v>400</v>
      </c>
    </row>
    <row r="15" spans="1:11" s="6" customFormat="1" ht="93.75" hidden="1">
      <c r="A15" s="1">
        <f t="shared" si="1"/>
        <v>14</v>
      </c>
      <c r="B15" s="1" t="s">
        <v>156</v>
      </c>
      <c r="C15" s="1">
        <v>4</v>
      </c>
      <c r="D15" s="1" t="s">
        <v>193</v>
      </c>
      <c r="E15" s="1" t="str">
        <f>IF(D15="ストーリー", INT((COUNTIF($D$2:D15, "ストーリー")-1)/3) + 1, "NA")</f>
        <v>NA</v>
      </c>
      <c r="F15" s="1" t="s">
        <v>10</v>
      </c>
      <c r="G15" s="1"/>
      <c r="H15" s="1"/>
      <c r="I15" s="1"/>
      <c r="J15" s="3" t="s">
        <v>423</v>
      </c>
      <c r="K15" s="4" t="s">
        <v>400</v>
      </c>
    </row>
    <row r="16" spans="1:11" s="6" customFormat="1" ht="93.75" hidden="1">
      <c r="A16" s="1">
        <f t="shared" si="1"/>
        <v>15</v>
      </c>
      <c r="B16" s="1" t="s">
        <v>156</v>
      </c>
      <c r="C16" s="1">
        <v>4</v>
      </c>
      <c r="D16" s="1" t="s">
        <v>193</v>
      </c>
      <c r="E16" s="1" t="str">
        <f>IF(D16="ストーリー", INT((COUNTIF($D$2:D16, "ストーリー")-1)/3) + 1, "NA")</f>
        <v>NA</v>
      </c>
      <c r="F16" s="1" t="s">
        <v>11</v>
      </c>
      <c r="G16" s="1"/>
      <c r="H16" s="1"/>
      <c r="I16" s="1"/>
      <c r="J16" s="3" t="s">
        <v>424</v>
      </c>
      <c r="K16" s="4" t="s">
        <v>400</v>
      </c>
    </row>
    <row r="17" spans="1:11" s="6" customFormat="1" ht="93.75" hidden="1">
      <c r="A17" s="1">
        <f t="shared" si="1"/>
        <v>16</v>
      </c>
      <c r="B17" s="1" t="s">
        <v>156</v>
      </c>
      <c r="C17" s="1">
        <v>4</v>
      </c>
      <c r="D17" s="1" t="s">
        <v>193</v>
      </c>
      <c r="E17" s="1" t="str">
        <f>IF(D17="ストーリー", INT((COUNTIF($D$2:D17, "ストーリー")-1)/3) + 1, "NA")</f>
        <v>NA</v>
      </c>
      <c r="F17" s="1" t="s">
        <v>12</v>
      </c>
      <c r="G17" s="1"/>
      <c r="H17" s="1"/>
      <c r="I17" s="1"/>
      <c r="J17" s="3" t="s">
        <v>425</v>
      </c>
      <c r="K17" s="4" t="s">
        <v>400</v>
      </c>
    </row>
    <row r="18" spans="1:11" s="6" customFormat="1" ht="93.75" hidden="1">
      <c r="A18" s="1">
        <f t="shared" si="1"/>
        <v>17</v>
      </c>
      <c r="B18" s="1" t="s">
        <v>156</v>
      </c>
      <c r="C18" s="1">
        <v>4</v>
      </c>
      <c r="D18" s="1" t="s">
        <v>193</v>
      </c>
      <c r="E18" s="1" t="str">
        <f>IF(D18="ストーリー", INT((COUNTIF($D$2:D18, "ストーリー")-1)/3) + 1, "NA")</f>
        <v>NA</v>
      </c>
      <c r="F18" s="1" t="s">
        <v>13</v>
      </c>
      <c r="G18" s="1"/>
      <c r="H18" s="1"/>
      <c r="I18" s="1"/>
      <c r="J18" s="3" t="s">
        <v>426</v>
      </c>
      <c r="K18" s="4" t="s">
        <v>400</v>
      </c>
    </row>
    <row r="19" spans="1:11" s="6" customFormat="1" ht="93.75" hidden="1">
      <c r="A19" s="1">
        <f t="shared" si="1"/>
        <v>18</v>
      </c>
      <c r="B19" s="1" t="s">
        <v>156</v>
      </c>
      <c r="C19" s="1">
        <v>4</v>
      </c>
      <c r="D19" s="1" t="s">
        <v>193</v>
      </c>
      <c r="E19" s="1" t="str">
        <f>IF(D19="ストーリー", INT((COUNTIF($D$2:D19, "ストーリー")-1)/3) + 1, "NA")</f>
        <v>NA</v>
      </c>
      <c r="F19" s="1" t="s">
        <v>14</v>
      </c>
      <c r="G19" s="1"/>
      <c r="H19" s="1"/>
      <c r="I19" s="1"/>
      <c r="J19" s="3" t="s">
        <v>439</v>
      </c>
      <c r="K19" s="4" t="s">
        <v>400</v>
      </c>
    </row>
    <row r="20" spans="1:11" s="6" customFormat="1" ht="93.75" hidden="1">
      <c r="A20" s="1">
        <f t="shared" si="1"/>
        <v>19</v>
      </c>
      <c r="B20" s="1" t="s">
        <v>156</v>
      </c>
      <c r="C20" s="1">
        <v>4</v>
      </c>
      <c r="D20" s="1" t="s">
        <v>193</v>
      </c>
      <c r="E20" s="1" t="str">
        <f>IF(D20="ストーリー", INT((COUNTIF($D$2:D20, "ストーリー")-1)/3) + 1, "NA")</f>
        <v>NA</v>
      </c>
      <c r="F20" s="1" t="s">
        <v>15</v>
      </c>
      <c r="G20" s="1"/>
      <c r="H20" s="1"/>
      <c r="I20" s="1"/>
      <c r="J20" s="3" t="s">
        <v>440</v>
      </c>
      <c r="K20" s="4" t="s">
        <v>400</v>
      </c>
    </row>
    <row r="21" spans="1:11" s="6" customFormat="1" ht="93.75" hidden="1">
      <c r="A21" s="1">
        <f t="shared" si="1"/>
        <v>20</v>
      </c>
      <c r="B21" s="1" t="s">
        <v>156</v>
      </c>
      <c r="C21" s="1">
        <v>4</v>
      </c>
      <c r="D21" s="1" t="s">
        <v>193</v>
      </c>
      <c r="E21" s="1" t="str">
        <f>IF(D21="ストーリー", INT((COUNTIF($D$2:D21, "ストーリー")-1)/3) + 1, "NA")</f>
        <v>NA</v>
      </c>
      <c r="F21" s="1" t="s">
        <v>16</v>
      </c>
      <c r="G21" s="1"/>
      <c r="H21" s="1"/>
      <c r="I21" s="1"/>
      <c r="J21" s="3" t="s">
        <v>441</v>
      </c>
      <c r="K21" s="4" t="s">
        <v>400</v>
      </c>
    </row>
    <row r="22" spans="1:11" s="6" customFormat="1" ht="93.75" hidden="1">
      <c r="A22" s="1">
        <f t="shared" si="1"/>
        <v>21</v>
      </c>
      <c r="B22" s="1" t="s">
        <v>156</v>
      </c>
      <c r="C22" s="1">
        <v>3</v>
      </c>
      <c r="D22" s="1" t="s">
        <v>193</v>
      </c>
      <c r="E22" s="1" t="str">
        <f>IF(D22="ストーリー", INT((COUNTIF($D$2:D22, "ストーリー")-1)/3) + 1, "NA")</f>
        <v>NA</v>
      </c>
      <c r="F22" s="1" t="s">
        <v>56</v>
      </c>
      <c r="G22" s="1"/>
      <c r="H22" s="1"/>
      <c r="I22" s="1"/>
      <c r="J22" s="3" t="s">
        <v>442</v>
      </c>
      <c r="K22" s="4" t="s">
        <v>400</v>
      </c>
    </row>
    <row r="23" spans="1:11" s="6" customFormat="1" ht="75" hidden="1">
      <c r="A23" s="1">
        <f t="shared" si="1"/>
        <v>22</v>
      </c>
      <c r="B23" s="1" t="s">
        <v>156</v>
      </c>
      <c r="C23" s="1">
        <v>3</v>
      </c>
      <c r="D23" s="1" t="s">
        <v>193</v>
      </c>
      <c r="E23" s="1" t="str">
        <f>IF(D23="ストーリー", INT((COUNTIF($D$2:D23, "ストーリー")-1)/3) + 1, "NA")</f>
        <v>NA</v>
      </c>
      <c r="F23" s="1" t="s">
        <v>57</v>
      </c>
      <c r="G23" s="1"/>
      <c r="H23" s="1"/>
      <c r="I23" s="1"/>
      <c r="J23" s="3" t="s">
        <v>427</v>
      </c>
      <c r="K23" s="4" t="s">
        <v>400</v>
      </c>
    </row>
    <row r="24" spans="1:11" s="6" customFormat="1" ht="75" hidden="1">
      <c r="A24" s="1">
        <f t="shared" si="1"/>
        <v>23</v>
      </c>
      <c r="B24" s="1" t="s">
        <v>156</v>
      </c>
      <c r="C24" s="1">
        <v>3</v>
      </c>
      <c r="D24" s="1" t="s">
        <v>193</v>
      </c>
      <c r="E24" s="1" t="str">
        <f>IF(D24="ストーリー", INT((COUNTIF($D$2:D24, "ストーリー")-1)/3) + 1, "NA")</f>
        <v>NA</v>
      </c>
      <c r="F24" s="1" t="s">
        <v>58</v>
      </c>
      <c r="G24" s="1"/>
      <c r="H24" s="1"/>
      <c r="I24" s="1"/>
      <c r="J24" s="3" t="s">
        <v>428</v>
      </c>
      <c r="K24" s="4" t="s">
        <v>400</v>
      </c>
    </row>
    <row r="25" spans="1:11" s="6" customFormat="1" ht="75" hidden="1">
      <c r="A25" s="1">
        <f t="shared" si="1"/>
        <v>24</v>
      </c>
      <c r="B25" s="1" t="s">
        <v>156</v>
      </c>
      <c r="C25" s="1">
        <v>3</v>
      </c>
      <c r="D25" s="1" t="s">
        <v>193</v>
      </c>
      <c r="E25" s="1" t="str">
        <f>IF(D25="ストーリー", INT((COUNTIF($D$2:D25, "ストーリー")-1)/3) + 1, "NA")</f>
        <v>NA</v>
      </c>
      <c r="F25" s="1" t="s">
        <v>59</v>
      </c>
      <c r="G25" s="1"/>
      <c r="H25" s="1"/>
      <c r="I25" s="1"/>
      <c r="J25" s="3" t="s">
        <v>445</v>
      </c>
      <c r="K25" s="4" t="s">
        <v>400</v>
      </c>
    </row>
    <row r="26" spans="1:11" s="6" customFormat="1" ht="75" hidden="1">
      <c r="A26" s="1">
        <f t="shared" si="1"/>
        <v>25</v>
      </c>
      <c r="B26" s="1" t="s">
        <v>156</v>
      </c>
      <c r="C26" s="1">
        <v>3</v>
      </c>
      <c r="D26" s="1" t="s">
        <v>193</v>
      </c>
      <c r="E26" s="1" t="str">
        <f>IF(D26="ストーリー", INT((COUNTIF($D$2:D26, "ストーリー")-1)/3) + 1, "NA")</f>
        <v>NA</v>
      </c>
      <c r="F26" s="1" t="s">
        <v>60</v>
      </c>
      <c r="G26" s="1"/>
      <c r="H26" s="1"/>
      <c r="I26" s="1"/>
      <c r="J26" s="3" t="s">
        <v>429</v>
      </c>
      <c r="K26" s="4" t="s">
        <v>400</v>
      </c>
    </row>
    <row r="27" spans="1:11" s="6" customFormat="1" ht="75" hidden="1">
      <c r="A27" s="1">
        <f t="shared" si="1"/>
        <v>26</v>
      </c>
      <c r="B27" s="1" t="s">
        <v>156</v>
      </c>
      <c r="C27" s="1">
        <v>3</v>
      </c>
      <c r="D27" s="1" t="s">
        <v>193</v>
      </c>
      <c r="E27" s="1" t="str">
        <f>IF(D27="ストーリー", INT((COUNTIF($D$2:D27, "ストーリー")-1)/3) + 1, "NA")</f>
        <v>NA</v>
      </c>
      <c r="F27" s="1" t="s">
        <v>61</v>
      </c>
      <c r="G27" s="1"/>
      <c r="H27" s="1"/>
      <c r="I27" s="1"/>
      <c r="J27" s="3" t="s">
        <v>443</v>
      </c>
      <c r="K27" s="4" t="s">
        <v>400</v>
      </c>
    </row>
    <row r="28" spans="1:11" s="6" customFormat="1" ht="75" hidden="1">
      <c r="A28" s="1">
        <f t="shared" si="1"/>
        <v>27</v>
      </c>
      <c r="B28" s="1" t="s">
        <v>156</v>
      </c>
      <c r="C28" s="1">
        <v>3</v>
      </c>
      <c r="D28" s="1" t="s">
        <v>193</v>
      </c>
      <c r="E28" s="1" t="str">
        <f>IF(D28="ストーリー", INT((COUNTIF($D$2:D28, "ストーリー")-1)/3) + 1, "NA")</f>
        <v>NA</v>
      </c>
      <c r="F28" s="1" t="s">
        <v>62</v>
      </c>
      <c r="G28" s="1"/>
      <c r="H28" s="1"/>
      <c r="I28" s="1"/>
      <c r="J28" s="3" t="s">
        <v>430</v>
      </c>
      <c r="K28" s="4" t="s">
        <v>400</v>
      </c>
    </row>
    <row r="29" spans="1:11" s="6" customFormat="1" ht="75" hidden="1">
      <c r="A29" s="1">
        <f t="shared" si="1"/>
        <v>28</v>
      </c>
      <c r="B29" s="1" t="s">
        <v>156</v>
      </c>
      <c r="C29" s="1">
        <v>3</v>
      </c>
      <c r="D29" s="1" t="s">
        <v>193</v>
      </c>
      <c r="E29" s="1" t="str">
        <f>IF(D29="ストーリー", INT((COUNTIF($D$2:D29, "ストーリー")-1)/3) + 1, "NA")</f>
        <v>NA</v>
      </c>
      <c r="F29" s="1" t="s">
        <v>63</v>
      </c>
      <c r="G29" s="1"/>
      <c r="H29" s="1"/>
      <c r="I29" s="1"/>
      <c r="J29" s="3" t="s">
        <v>431</v>
      </c>
      <c r="K29" s="4" t="s">
        <v>400</v>
      </c>
    </row>
    <row r="30" spans="1:11" s="6" customFormat="1" ht="75" hidden="1">
      <c r="A30" s="1">
        <f t="shared" si="1"/>
        <v>29</v>
      </c>
      <c r="B30" s="1" t="s">
        <v>156</v>
      </c>
      <c r="C30" s="1">
        <v>3</v>
      </c>
      <c r="D30" s="1" t="s">
        <v>193</v>
      </c>
      <c r="E30" s="1" t="str">
        <f>IF(D30="ストーリー", INT((COUNTIF($D$2:D30, "ストーリー")-1)/3) + 1, "NA")</f>
        <v>NA</v>
      </c>
      <c r="F30" s="1" t="s">
        <v>64</v>
      </c>
      <c r="G30" s="1"/>
      <c r="H30" s="1"/>
      <c r="I30" s="1"/>
      <c r="J30" s="3" t="s">
        <v>432</v>
      </c>
      <c r="K30" s="4" t="s">
        <v>400</v>
      </c>
    </row>
    <row r="31" spans="1:11" s="6" customFormat="1" ht="75" hidden="1">
      <c r="A31" s="1">
        <f t="shared" si="1"/>
        <v>30</v>
      </c>
      <c r="B31" s="1" t="s">
        <v>156</v>
      </c>
      <c r="C31" s="1">
        <v>3</v>
      </c>
      <c r="D31" s="1" t="s">
        <v>193</v>
      </c>
      <c r="E31" s="1" t="str">
        <f>IF(D31="ストーリー", INT((COUNTIF($D$2:D31, "ストーリー")-1)/3) + 1, "NA")</f>
        <v>NA</v>
      </c>
      <c r="F31" s="1" t="s">
        <v>65</v>
      </c>
      <c r="G31" s="1"/>
      <c r="H31" s="1"/>
      <c r="I31" s="1"/>
      <c r="J31" s="3" t="s">
        <v>433</v>
      </c>
      <c r="K31" s="4" t="s">
        <v>400</v>
      </c>
    </row>
    <row r="32" spans="1:11" s="6" customFormat="1" ht="75" hidden="1">
      <c r="A32" s="1">
        <f t="shared" si="1"/>
        <v>31</v>
      </c>
      <c r="B32" s="1" t="s">
        <v>156</v>
      </c>
      <c r="C32" s="1">
        <v>3</v>
      </c>
      <c r="D32" s="1" t="s">
        <v>193</v>
      </c>
      <c r="E32" s="1" t="str">
        <f>IF(D32="ストーリー", INT((COUNTIF($D$2:D32, "ストーリー")-1)/3) + 1, "NA")</f>
        <v>NA</v>
      </c>
      <c r="F32" s="1" t="s">
        <v>66</v>
      </c>
      <c r="G32" s="1"/>
      <c r="H32" s="1"/>
      <c r="I32" s="1"/>
      <c r="J32" s="3" t="s">
        <v>434</v>
      </c>
      <c r="K32" s="4" t="s">
        <v>400</v>
      </c>
    </row>
    <row r="33" spans="1:11" s="6" customFormat="1" ht="75" hidden="1">
      <c r="A33" s="1">
        <f t="shared" si="1"/>
        <v>32</v>
      </c>
      <c r="B33" s="1" t="s">
        <v>156</v>
      </c>
      <c r="C33" s="1">
        <v>3</v>
      </c>
      <c r="D33" s="1" t="s">
        <v>193</v>
      </c>
      <c r="E33" s="1" t="str">
        <f>IF(D33="ストーリー", INT((COUNTIF($D$2:D33, "ストーリー")-1)/3) + 1, "NA")</f>
        <v>NA</v>
      </c>
      <c r="F33" s="1" t="s">
        <v>67</v>
      </c>
      <c r="G33" s="1"/>
      <c r="H33" s="1"/>
      <c r="I33" s="1"/>
      <c r="J33" s="3" t="s">
        <v>435</v>
      </c>
      <c r="K33" s="4" t="s">
        <v>400</v>
      </c>
    </row>
    <row r="34" spans="1:11" s="6" customFormat="1" ht="75" hidden="1">
      <c r="A34" s="1">
        <f t="shared" si="1"/>
        <v>33</v>
      </c>
      <c r="B34" s="1" t="s">
        <v>156</v>
      </c>
      <c r="C34" s="1">
        <v>3</v>
      </c>
      <c r="D34" s="1" t="s">
        <v>193</v>
      </c>
      <c r="E34" s="1" t="str">
        <f>IF(D34="ストーリー", INT((COUNTIF($D$2:D34, "ストーリー")-1)/3) + 1, "NA")</f>
        <v>NA</v>
      </c>
      <c r="F34" s="1" t="s">
        <v>68</v>
      </c>
      <c r="G34" s="1"/>
      <c r="H34" s="1"/>
      <c r="I34" s="1"/>
      <c r="J34" s="3" t="s">
        <v>436</v>
      </c>
      <c r="K34" s="4" t="s">
        <v>400</v>
      </c>
    </row>
    <row r="35" spans="1:11" s="6" customFormat="1" ht="75" hidden="1">
      <c r="A35" s="1">
        <f t="shared" si="1"/>
        <v>34</v>
      </c>
      <c r="B35" s="1" t="s">
        <v>156</v>
      </c>
      <c r="C35" s="1">
        <v>3</v>
      </c>
      <c r="D35" s="1" t="s">
        <v>193</v>
      </c>
      <c r="E35" s="1" t="str">
        <f>IF(D35="ストーリー", INT((COUNTIF($D$2:D35, "ストーリー")-1)/3) + 1, "NA")</f>
        <v>NA</v>
      </c>
      <c r="F35" s="1" t="s">
        <v>69</v>
      </c>
      <c r="G35" s="1"/>
      <c r="H35" s="1"/>
      <c r="I35" s="1"/>
      <c r="J35" s="3" t="s">
        <v>437</v>
      </c>
      <c r="K35" s="4" t="s">
        <v>400</v>
      </c>
    </row>
    <row r="36" spans="1:11" s="6" customFormat="1" ht="75" hidden="1">
      <c r="A36" s="1">
        <f t="shared" si="0"/>
        <v>35</v>
      </c>
      <c r="B36" s="1" t="s">
        <v>156</v>
      </c>
      <c r="C36" s="1">
        <v>3</v>
      </c>
      <c r="D36" s="1" t="s">
        <v>193</v>
      </c>
      <c r="E36" s="1" t="str">
        <f>IF(D36="ストーリー", INT((COUNTIF($D$2:D36, "ストーリー")-1)/3) + 1, "NA")</f>
        <v>NA</v>
      </c>
      <c r="F36" s="1" t="s">
        <v>70</v>
      </c>
      <c r="G36" s="1"/>
      <c r="H36" s="1"/>
      <c r="I36" s="1"/>
      <c r="J36" s="3" t="s">
        <v>438</v>
      </c>
      <c r="K36" s="4" t="s">
        <v>400</v>
      </c>
    </row>
    <row r="37" spans="1:11" s="6" customFormat="1" ht="75" hidden="1">
      <c r="A37" s="1">
        <f t="shared" si="0"/>
        <v>36</v>
      </c>
      <c r="B37" s="1" t="s">
        <v>156</v>
      </c>
      <c r="C37" s="1">
        <v>3</v>
      </c>
      <c r="D37" s="1" t="s">
        <v>193</v>
      </c>
      <c r="E37" s="1" t="str">
        <f>IF(D37="ストーリー", INT((COUNTIF($D$2:D37, "ストーリー")-1)/3) + 1, "NA")</f>
        <v>NA</v>
      </c>
      <c r="F37" s="1" t="s">
        <v>71</v>
      </c>
      <c r="G37" s="1"/>
      <c r="H37" s="1"/>
      <c r="I37" s="1"/>
      <c r="J37" s="3" t="s">
        <v>444</v>
      </c>
      <c r="K37" s="4" t="s">
        <v>400</v>
      </c>
    </row>
    <row r="38" spans="1:11" ht="18.75" hidden="1">
      <c r="A38" s="1">
        <f t="shared" si="1"/>
        <v>37</v>
      </c>
      <c r="B38" s="1" t="s">
        <v>156</v>
      </c>
      <c r="C38" s="1">
        <v>2</v>
      </c>
      <c r="D38" s="1" t="s">
        <v>193</v>
      </c>
      <c r="E38" s="1" t="str">
        <f>IF(D38="ストーリー", INT((COUNTIF($D$2:D38, "ストーリー")-1)/3) + 1, "NA")</f>
        <v>NA</v>
      </c>
      <c r="F38" s="1" t="s">
        <v>42</v>
      </c>
      <c r="G38" s="1"/>
      <c r="H38" s="1"/>
      <c r="I38" s="1"/>
      <c r="J38" s="1"/>
      <c r="K38" s="4" t="s">
        <v>400</v>
      </c>
    </row>
    <row r="39" spans="1:11" ht="18.75" hidden="1">
      <c r="A39" s="1">
        <f t="shared" si="1"/>
        <v>38</v>
      </c>
      <c r="B39" s="1" t="s">
        <v>156</v>
      </c>
      <c r="C39" s="1">
        <v>2</v>
      </c>
      <c r="D39" s="1" t="s">
        <v>193</v>
      </c>
      <c r="E39" s="1" t="str">
        <f>IF(D39="ストーリー", INT((COUNTIF($D$2:D39, "ストーリー")-1)/3) + 1, "NA")</f>
        <v>NA</v>
      </c>
      <c r="F39" s="1" t="s">
        <v>43</v>
      </c>
      <c r="G39" s="1"/>
      <c r="H39" s="1"/>
      <c r="I39" s="1"/>
      <c r="J39" s="1"/>
      <c r="K39" s="4" t="s">
        <v>400</v>
      </c>
    </row>
    <row r="40" spans="1:11" ht="18.75" hidden="1">
      <c r="A40" s="1">
        <f t="shared" si="1"/>
        <v>39</v>
      </c>
      <c r="B40" s="1" t="s">
        <v>156</v>
      </c>
      <c r="C40" s="1">
        <v>2</v>
      </c>
      <c r="D40" s="1" t="s">
        <v>193</v>
      </c>
      <c r="E40" s="1" t="str">
        <f>IF(D40="ストーリー", INT((COUNTIF($D$2:D40, "ストーリー")-1)/3) + 1, "NA")</f>
        <v>NA</v>
      </c>
      <c r="F40" s="1" t="s">
        <v>44</v>
      </c>
      <c r="G40" s="1"/>
      <c r="H40" s="1"/>
      <c r="I40" s="1"/>
      <c r="J40" s="1"/>
      <c r="K40" s="4" t="s">
        <v>400</v>
      </c>
    </row>
    <row r="41" spans="1:11" ht="18.75" hidden="1">
      <c r="A41" s="1">
        <f t="shared" si="1"/>
        <v>40</v>
      </c>
      <c r="B41" s="1" t="s">
        <v>156</v>
      </c>
      <c r="C41" s="1">
        <v>2</v>
      </c>
      <c r="D41" s="1" t="s">
        <v>193</v>
      </c>
      <c r="E41" s="1" t="str">
        <f>IF(D41="ストーリー", INT((COUNTIF($D$2:D41, "ストーリー")-1)/3) + 1, "NA")</f>
        <v>NA</v>
      </c>
      <c r="F41" s="1" t="s">
        <v>45</v>
      </c>
      <c r="G41" s="1"/>
      <c r="H41" s="1"/>
      <c r="I41" s="1"/>
      <c r="J41" s="1"/>
      <c r="K41" s="4" t="s">
        <v>400</v>
      </c>
    </row>
    <row r="42" spans="1:11" ht="18.75" hidden="1">
      <c r="A42" s="1">
        <f t="shared" si="1"/>
        <v>41</v>
      </c>
      <c r="B42" s="1" t="s">
        <v>156</v>
      </c>
      <c r="C42" s="1">
        <v>2</v>
      </c>
      <c r="D42" s="1" t="s">
        <v>193</v>
      </c>
      <c r="E42" s="1" t="str">
        <f>IF(D42="ストーリー", INT((COUNTIF($D$2:D42, "ストーリー")-1)/3) + 1, "NA")</f>
        <v>NA</v>
      </c>
      <c r="F42" s="1" t="s">
        <v>46</v>
      </c>
      <c r="G42" s="1"/>
      <c r="H42" s="1"/>
      <c r="I42" s="1"/>
      <c r="J42" s="1"/>
      <c r="K42" s="4" t="s">
        <v>400</v>
      </c>
    </row>
    <row r="43" spans="1:11" ht="18.75" hidden="1">
      <c r="A43" s="1">
        <f t="shared" si="1"/>
        <v>42</v>
      </c>
      <c r="B43" s="1" t="s">
        <v>156</v>
      </c>
      <c r="C43" s="1">
        <v>2</v>
      </c>
      <c r="D43" s="1" t="s">
        <v>193</v>
      </c>
      <c r="E43" s="1" t="str">
        <f>IF(D43="ストーリー", INT((COUNTIF($D$2:D43, "ストーリー")-1)/3) + 1, "NA")</f>
        <v>NA</v>
      </c>
      <c r="F43" s="1" t="s">
        <v>47</v>
      </c>
      <c r="G43" s="1"/>
      <c r="H43" s="1"/>
      <c r="I43" s="1"/>
      <c r="J43" s="1"/>
      <c r="K43" s="4" t="s">
        <v>400</v>
      </c>
    </row>
    <row r="44" spans="1:11" ht="18.75" hidden="1">
      <c r="A44" s="1">
        <f t="shared" si="1"/>
        <v>43</v>
      </c>
      <c r="B44" s="1" t="s">
        <v>156</v>
      </c>
      <c r="C44" s="1">
        <v>2</v>
      </c>
      <c r="D44" s="1" t="s">
        <v>193</v>
      </c>
      <c r="E44" s="1" t="str">
        <f>IF(D44="ストーリー", INT((COUNTIF($D$2:D44, "ストーリー")-1)/3) + 1, "NA")</f>
        <v>NA</v>
      </c>
      <c r="F44" s="1" t="s">
        <v>48</v>
      </c>
      <c r="G44" s="1"/>
      <c r="H44" s="1"/>
      <c r="I44" s="1"/>
      <c r="J44" s="1"/>
      <c r="K44" s="4" t="s">
        <v>400</v>
      </c>
    </row>
    <row r="45" spans="1:11" ht="18.75" hidden="1">
      <c r="A45" s="1">
        <f t="shared" si="1"/>
        <v>44</v>
      </c>
      <c r="B45" s="1" t="s">
        <v>156</v>
      </c>
      <c r="C45" s="1">
        <v>2</v>
      </c>
      <c r="D45" s="1" t="s">
        <v>193</v>
      </c>
      <c r="E45" s="1" t="str">
        <f>IF(D45="ストーリー", INT((COUNTIF($D$2:D45, "ストーリー")-1)/3) + 1, "NA")</f>
        <v>NA</v>
      </c>
      <c r="F45" s="1" t="s">
        <v>49</v>
      </c>
      <c r="G45" s="1"/>
      <c r="H45" s="1"/>
      <c r="I45" s="1"/>
      <c r="J45" s="1"/>
      <c r="K45" s="4" t="s">
        <v>400</v>
      </c>
    </row>
    <row r="46" spans="1:11" ht="18.75" hidden="1">
      <c r="A46" s="1">
        <f t="shared" si="1"/>
        <v>45</v>
      </c>
      <c r="B46" s="1" t="s">
        <v>156</v>
      </c>
      <c r="C46" s="1">
        <v>2</v>
      </c>
      <c r="D46" s="1" t="s">
        <v>193</v>
      </c>
      <c r="E46" s="1" t="str">
        <f>IF(D46="ストーリー", INT((COUNTIF($D$2:D46, "ストーリー")-1)/3) + 1, "NA")</f>
        <v>NA</v>
      </c>
      <c r="F46" s="1" t="s">
        <v>50</v>
      </c>
      <c r="G46" s="1"/>
      <c r="H46" s="1"/>
      <c r="I46" s="1"/>
      <c r="J46" s="1"/>
      <c r="K46" s="4" t="s">
        <v>400</v>
      </c>
    </row>
    <row r="47" spans="1:11" ht="18.75" hidden="1">
      <c r="A47" s="1">
        <f t="shared" si="1"/>
        <v>46</v>
      </c>
      <c r="B47" s="1" t="s">
        <v>156</v>
      </c>
      <c r="C47" s="1">
        <v>2</v>
      </c>
      <c r="D47" s="1" t="s">
        <v>193</v>
      </c>
      <c r="E47" s="1" t="str">
        <f>IF(D47="ストーリー", INT((COUNTIF($D$2:D47, "ストーリー")-1)/3) + 1, "NA")</f>
        <v>NA</v>
      </c>
      <c r="F47" s="1" t="s">
        <v>51</v>
      </c>
      <c r="G47" s="1"/>
      <c r="H47" s="1"/>
      <c r="I47" s="1"/>
      <c r="J47" s="1"/>
      <c r="K47" s="4" t="s">
        <v>400</v>
      </c>
    </row>
    <row r="48" spans="1:11" ht="18.75" hidden="1">
      <c r="A48" s="1">
        <f t="shared" si="1"/>
        <v>47</v>
      </c>
      <c r="B48" s="1" t="s">
        <v>156</v>
      </c>
      <c r="C48" s="1">
        <v>2</v>
      </c>
      <c r="D48" s="1" t="s">
        <v>193</v>
      </c>
      <c r="E48" s="1" t="str">
        <f>IF(D48="ストーリー", INT((COUNTIF($D$2:D48, "ストーリー")-1)/3) + 1, "NA")</f>
        <v>NA</v>
      </c>
      <c r="F48" s="1" t="s">
        <v>52</v>
      </c>
      <c r="G48" s="1"/>
      <c r="H48" s="1"/>
      <c r="I48" s="1"/>
      <c r="J48" s="1"/>
      <c r="K48" s="4" t="s">
        <v>400</v>
      </c>
    </row>
    <row r="49" spans="1:11" ht="18.75" hidden="1">
      <c r="A49" s="1">
        <f t="shared" si="1"/>
        <v>48</v>
      </c>
      <c r="B49" s="1" t="s">
        <v>156</v>
      </c>
      <c r="C49" s="1">
        <v>2</v>
      </c>
      <c r="D49" s="1" t="s">
        <v>193</v>
      </c>
      <c r="E49" s="1" t="str">
        <f>IF(D49="ストーリー", INT((COUNTIF($D$2:D49, "ストーリー")-1)/3) + 1, "NA")</f>
        <v>NA</v>
      </c>
      <c r="F49" s="1" t="s">
        <v>53</v>
      </c>
      <c r="G49" s="1"/>
      <c r="H49" s="1"/>
      <c r="I49" s="1"/>
      <c r="J49" s="1"/>
      <c r="K49" s="4" t="s">
        <v>400</v>
      </c>
    </row>
    <row r="50" spans="1:11" ht="18.75" hidden="1">
      <c r="A50" s="1">
        <f t="shared" si="1"/>
        <v>49</v>
      </c>
      <c r="B50" s="1" t="s">
        <v>156</v>
      </c>
      <c r="C50" s="1">
        <v>2</v>
      </c>
      <c r="D50" s="1" t="s">
        <v>193</v>
      </c>
      <c r="E50" s="1" t="str">
        <f>IF(D50="ストーリー", INT((COUNTIF($D$2:D50, "ストーリー")-1)/3) + 1, "NA")</f>
        <v>NA</v>
      </c>
      <c r="F50" s="1" t="s">
        <v>54</v>
      </c>
      <c r="G50" s="1"/>
      <c r="H50" s="1"/>
      <c r="I50" s="1"/>
      <c r="J50" s="1"/>
      <c r="K50" s="4" t="s">
        <v>400</v>
      </c>
    </row>
    <row r="51" spans="1:11" ht="18.75" hidden="1">
      <c r="A51" s="1">
        <f t="shared" si="1"/>
        <v>50</v>
      </c>
      <c r="B51" s="1" t="s">
        <v>156</v>
      </c>
      <c r="C51" s="1">
        <v>2</v>
      </c>
      <c r="D51" s="1" t="s">
        <v>193</v>
      </c>
      <c r="E51" s="1" t="str">
        <f>IF(D51="ストーリー", INT((COUNTIF($D$2:D51, "ストーリー")-1)/3) + 1, "NA")</f>
        <v>NA</v>
      </c>
      <c r="F51" s="1" t="s">
        <v>55</v>
      </c>
      <c r="G51" s="1"/>
      <c r="H51" s="1"/>
      <c r="I51" s="1"/>
      <c r="J51" s="1"/>
      <c r="K51" s="4" t="s">
        <v>400</v>
      </c>
    </row>
    <row r="52" spans="1:11" s="6" customFormat="1" ht="18.75" hidden="1">
      <c r="A52" s="1">
        <f t="shared" si="1"/>
        <v>51</v>
      </c>
      <c r="B52" s="1" t="s">
        <v>156</v>
      </c>
      <c r="C52" s="1" t="s">
        <v>29</v>
      </c>
      <c r="D52" s="1" t="s">
        <v>193</v>
      </c>
      <c r="E52" s="1" t="str">
        <f>IF(D52="ストーリー", INT((COUNTIF($D$2:D52, "ストーリー")-1)/3) + 1, "NA")</f>
        <v>NA</v>
      </c>
      <c r="F52" s="1" t="s">
        <v>30</v>
      </c>
      <c r="G52" s="1"/>
      <c r="H52" s="1"/>
      <c r="I52" s="1"/>
      <c r="J52" s="4"/>
      <c r="K52" s="4" t="s">
        <v>400</v>
      </c>
    </row>
    <row r="53" spans="1:11" s="6" customFormat="1" ht="18.75" hidden="1">
      <c r="A53" s="1">
        <f t="shared" si="1"/>
        <v>52</v>
      </c>
      <c r="B53" s="1" t="s">
        <v>156</v>
      </c>
      <c r="C53" s="1" t="s">
        <v>29</v>
      </c>
      <c r="D53" s="1" t="s">
        <v>193</v>
      </c>
      <c r="E53" s="1" t="str">
        <f>IF(D53="ストーリー", INT((COUNTIF($D$2:D53, "ストーリー")-1)/3) + 1, "NA")</f>
        <v>NA</v>
      </c>
      <c r="F53" s="1" t="s">
        <v>31</v>
      </c>
      <c r="G53" s="1"/>
      <c r="H53" s="1"/>
      <c r="I53" s="1"/>
      <c r="J53" s="4"/>
      <c r="K53" s="4" t="s">
        <v>400</v>
      </c>
    </row>
    <row r="54" spans="1:11" s="6" customFormat="1" ht="18.75" hidden="1">
      <c r="A54" s="1">
        <f t="shared" si="1"/>
        <v>53</v>
      </c>
      <c r="B54" s="1" t="s">
        <v>156</v>
      </c>
      <c r="C54" s="1" t="s">
        <v>29</v>
      </c>
      <c r="D54" s="1" t="s">
        <v>193</v>
      </c>
      <c r="E54" s="1" t="str">
        <f>IF(D54="ストーリー", INT((COUNTIF($D$2:D54, "ストーリー")-1)/3) + 1, "NA")</f>
        <v>NA</v>
      </c>
      <c r="F54" s="1" t="s">
        <v>32</v>
      </c>
      <c r="G54" s="1"/>
      <c r="H54" s="1"/>
      <c r="I54" s="1"/>
      <c r="J54" s="4"/>
      <c r="K54" s="4" t="s">
        <v>400</v>
      </c>
    </row>
    <row r="55" spans="1:11" s="6" customFormat="1" ht="18.75" hidden="1">
      <c r="A55" s="1">
        <f t="shared" si="1"/>
        <v>54</v>
      </c>
      <c r="B55" s="1" t="s">
        <v>156</v>
      </c>
      <c r="C55" s="1" t="s">
        <v>29</v>
      </c>
      <c r="D55" s="1" t="s">
        <v>193</v>
      </c>
      <c r="E55" s="1" t="str">
        <f>IF(D55="ストーリー", INT((COUNTIF($D$2:D55, "ストーリー")-1)/3) + 1, "NA")</f>
        <v>NA</v>
      </c>
      <c r="F55" s="1" t="s">
        <v>33</v>
      </c>
      <c r="G55" s="1"/>
      <c r="H55" s="1"/>
      <c r="I55" s="1"/>
      <c r="J55" s="4"/>
      <c r="K55" s="4" t="s">
        <v>400</v>
      </c>
    </row>
    <row r="56" spans="1:11" s="6" customFormat="1" ht="18.75" hidden="1">
      <c r="A56" s="1">
        <f t="shared" si="1"/>
        <v>55</v>
      </c>
      <c r="B56" s="1" t="s">
        <v>156</v>
      </c>
      <c r="C56" s="1" t="s">
        <v>29</v>
      </c>
      <c r="D56" s="1" t="s">
        <v>193</v>
      </c>
      <c r="E56" s="1" t="str">
        <f>IF(D56="ストーリー", INT((COUNTIF($D$2:D56, "ストーリー")-1)/3) + 1, "NA")</f>
        <v>NA</v>
      </c>
      <c r="F56" s="1" t="s">
        <v>34</v>
      </c>
      <c r="G56" s="1"/>
      <c r="H56" s="1"/>
      <c r="I56" s="1"/>
      <c r="J56" s="4"/>
      <c r="K56" s="4" t="s">
        <v>400</v>
      </c>
    </row>
    <row r="57" spans="1:11" s="6" customFormat="1" ht="18.75" hidden="1">
      <c r="A57" s="1">
        <f t="shared" si="1"/>
        <v>56</v>
      </c>
      <c r="B57" s="1" t="s">
        <v>156</v>
      </c>
      <c r="C57" s="1" t="s">
        <v>29</v>
      </c>
      <c r="D57" s="1" t="s">
        <v>193</v>
      </c>
      <c r="E57" s="1" t="str">
        <f>IF(D57="ストーリー", INT((COUNTIF($D$2:D57, "ストーリー")-1)/3) + 1, "NA")</f>
        <v>NA</v>
      </c>
      <c r="F57" s="1" t="s">
        <v>35</v>
      </c>
      <c r="G57" s="1"/>
      <c r="H57" s="1"/>
      <c r="I57" s="1"/>
      <c r="J57" s="4"/>
      <c r="K57" s="4" t="s">
        <v>400</v>
      </c>
    </row>
    <row r="58" spans="1:11" s="6" customFormat="1" ht="18.75" hidden="1">
      <c r="A58" s="1">
        <f t="shared" si="1"/>
        <v>57</v>
      </c>
      <c r="B58" s="1" t="s">
        <v>156</v>
      </c>
      <c r="C58" s="1" t="s">
        <v>29</v>
      </c>
      <c r="D58" s="1" t="s">
        <v>193</v>
      </c>
      <c r="E58" s="1" t="str">
        <f>IF(D58="ストーリー", INT((COUNTIF($D$2:D58, "ストーリー")-1)/3) + 1, "NA")</f>
        <v>NA</v>
      </c>
      <c r="F58" s="1" t="s">
        <v>36</v>
      </c>
      <c r="G58" s="1"/>
      <c r="H58" s="1"/>
      <c r="I58" s="1"/>
      <c r="J58" s="4"/>
      <c r="K58" s="4" t="s">
        <v>400</v>
      </c>
    </row>
    <row r="59" spans="1:11" s="6" customFormat="1" ht="18.75" hidden="1">
      <c r="A59" s="1">
        <f t="shared" si="1"/>
        <v>58</v>
      </c>
      <c r="B59" s="1" t="s">
        <v>156</v>
      </c>
      <c r="C59" s="1" t="s">
        <v>29</v>
      </c>
      <c r="D59" s="1" t="s">
        <v>193</v>
      </c>
      <c r="E59" s="1" t="str">
        <f>IF(D59="ストーリー", INT((COUNTIF($D$2:D59, "ストーリー")-1)/3) + 1, "NA")</f>
        <v>NA</v>
      </c>
      <c r="F59" s="1" t="s">
        <v>37</v>
      </c>
      <c r="G59" s="1"/>
      <c r="H59" s="1"/>
      <c r="I59" s="1"/>
      <c r="J59" s="4"/>
      <c r="K59" s="4" t="s">
        <v>400</v>
      </c>
    </row>
    <row r="60" spans="1:11" s="6" customFormat="1" ht="18.75" hidden="1">
      <c r="A60" s="1">
        <f t="shared" si="1"/>
        <v>59</v>
      </c>
      <c r="B60" s="1" t="s">
        <v>156</v>
      </c>
      <c r="C60" s="1" t="s">
        <v>29</v>
      </c>
      <c r="D60" s="1" t="s">
        <v>193</v>
      </c>
      <c r="E60" s="1" t="str">
        <f>IF(D60="ストーリー", INT((COUNTIF($D$2:D60, "ストーリー")-1)/3) + 1, "NA")</f>
        <v>NA</v>
      </c>
      <c r="F60" s="1" t="s">
        <v>38</v>
      </c>
      <c r="G60" s="1"/>
      <c r="H60" s="1"/>
      <c r="I60" s="1"/>
      <c r="J60" s="4"/>
      <c r="K60" s="4" t="s">
        <v>400</v>
      </c>
    </row>
    <row r="61" spans="1:11" s="6" customFormat="1" ht="18.75" hidden="1">
      <c r="A61" s="1">
        <f t="shared" si="1"/>
        <v>60</v>
      </c>
      <c r="B61" s="1" t="s">
        <v>156</v>
      </c>
      <c r="C61" s="1" t="s">
        <v>29</v>
      </c>
      <c r="D61" s="1" t="s">
        <v>193</v>
      </c>
      <c r="E61" s="1" t="str">
        <f>IF(D61="ストーリー", INT((COUNTIF($D$2:D61, "ストーリー")-1)/3) + 1, "NA")</f>
        <v>NA</v>
      </c>
      <c r="F61" s="1" t="s">
        <v>39</v>
      </c>
      <c r="G61" s="1"/>
      <c r="H61" s="1"/>
      <c r="I61" s="1"/>
      <c r="J61" s="4"/>
      <c r="K61" s="4" t="s">
        <v>400</v>
      </c>
    </row>
    <row r="62" spans="1:11" s="6" customFormat="1" ht="18.75" hidden="1">
      <c r="A62" s="1">
        <f t="shared" si="1"/>
        <v>61</v>
      </c>
      <c r="B62" s="1" t="s">
        <v>156</v>
      </c>
      <c r="C62" s="1" t="s">
        <v>29</v>
      </c>
      <c r="D62" s="1" t="s">
        <v>193</v>
      </c>
      <c r="E62" s="1" t="str">
        <f>IF(D62="ストーリー", INT((COUNTIF($D$2:D62, "ストーリー")-1)/3) + 1, "NA")</f>
        <v>NA</v>
      </c>
      <c r="F62" s="1" t="s">
        <v>40</v>
      </c>
      <c r="G62" s="1"/>
      <c r="H62" s="1"/>
      <c r="I62" s="1"/>
      <c r="J62" s="4"/>
      <c r="K62" s="4" t="s">
        <v>400</v>
      </c>
    </row>
    <row r="63" spans="1:11" s="6" customFormat="1" ht="18.75" hidden="1">
      <c r="A63" s="1">
        <f t="shared" si="1"/>
        <v>62</v>
      </c>
      <c r="B63" s="1" t="s">
        <v>156</v>
      </c>
      <c r="C63" s="1" t="s">
        <v>29</v>
      </c>
      <c r="D63" s="1" t="s">
        <v>193</v>
      </c>
      <c r="E63" s="1" t="str">
        <f>IF(D63="ストーリー", INT((COUNTIF($D$2:D63, "ストーリー")-1)/3) + 1, "NA")</f>
        <v>NA</v>
      </c>
      <c r="F63" s="1" t="s">
        <v>41</v>
      </c>
      <c r="G63" s="1"/>
      <c r="H63" s="1"/>
      <c r="I63" s="1"/>
      <c r="J63" s="4"/>
      <c r="K63" s="4" t="s">
        <v>400</v>
      </c>
    </row>
    <row r="64" spans="1:11" s="6" customFormat="1" ht="18.75" hidden="1">
      <c r="A64" s="1">
        <f t="shared" si="1"/>
        <v>63</v>
      </c>
      <c r="B64" s="1" t="s">
        <v>156</v>
      </c>
      <c r="C64" s="1">
        <v>1</v>
      </c>
      <c r="D64" s="1" t="s">
        <v>193</v>
      </c>
      <c r="E64" s="1" t="str">
        <f>IF(D64="ストーリー", INT((COUNTIF($D$2:D64, "ストーリー")-1)/3) + 1, "NA")</f>
        <v>NA</v>
      </c>
      <c r="F64" s="1" t="s">
        <v>17</v>
      </c>
      <c r="G64" s="1"/>
      <c r="H64" s="1"/>
      <c r="I64" s="1"/>
      <c r="J64" s="4"/>
      <c r="K64" s="4" t="s">
        <v>400</v>
      </c>
    </row>
    <row r="65" spans="1:11" s="6" customFormat="1" ht="18.75" hidden="1">
      <c r="A65" s="1">
        <f t="shared" si="1"/>
        <v>64</v>
      </c>
      <c r="B65" s="1" t="s">
        <v>156</v>
      </c>
      <c r="C65" s="1">
        <v>1</v>
      </c>
      <c r="D65" s="1" t="s">
        <v>193</v>
      </c>
      <c r="E65" s="1" t="str">
        <f>IF(D65="ストーリー", INT((COUNTIF($D$2:D65, "ストーリー")-1)/3) + 1, "NA")</f>
        <v>NA</v>
      </c>
      <c r="F65" s="1" t="s">
        <v>18</v>
      </c>
      <c r="G65" s="1"/>
      <c r="H65" s="1"/>
      <c r="I65" s="1"/>
      <c r="J65" s="4"/>
      <c r="K65" s="4" t="s">
        <v>400</v>
      </c>
    </row>
    <row r="66" spans="1:11" s="6" customFormat="1" ht="18.75" hidden="1">
      <c r="A66" s="1">
        <f t="shared" si="1"/>
        <v>65</v>
      </c>
      <c r="B66" s="1" t="s">
        <v>156</v>
      </c>
      <c r="C66" s="1">
        <v>1</v>
      </c>
      <c r="D66" s="1" t="s">
        <v>193</v>
      </c>
      <c r="E66" s="1" t="str">
        <f>IF(D66="ストーリー", INT((COUNTIF($D$2:D66, "ストーリー")-1)/3) + 1, "NA")</f>
        <v>NA</v>
      </c>
      <c r="F66" s="1" t="s">
        <v>19</v>
      </c>
      <c r="G66" s="1"/>
      <c r="H66" s="1"/>
      <c r="I66" s="1"/>
      <c r="J66" s="4"/>
      <c r="K66" s="4" t="s">
        <v>400</v>
      </c>
    </row>
    <row r="67" spans="1:11" s="6" customFormat="1" ht="18.75" hidden="1">
      <c r="A67" s="1">
        <f t="shared" si="1"/>
        <v>66</v>
      </c>
      <c r="B67" s="1" t="s">
        <v>156</v>
      </c>
      <c r="C67" s="1">
        <v>1</v>
      </c>
      <c r="D67" s="1" t="s">
        <v>193</v>
      </c>
      <c r="E67" s="1" t="str">
        <f>IF(D67="ストーリー", INT((COUNTIF($D$2:D67, "ストーリー")-1)/3) + 1, "NA")</f>
        <v>NA</v>
      </c>
      <c r="F67" s="1" t="s">
        <v>20</v>
      </c>
      <c r="G67" s="1"/>
      <c r="H67" s="1"/>
      <c r="I67" s="1"/>
      <c r="J67" s="4"/>
      <c r="K67" s="4" t="s">
        <v>400</v>
      </c>
    </row>
    <row r="68" spans="1:11" s="6" customFormat="1" ht="18.75" hidden="1">
      <c r="A68" s="1">
        <f t="shared" si="1"/>
        <v>67</v>
      </c>
      <c r="B68" s="1" t="s">
        <v>156</v>
      </c>
      <c r="C68" s="1">
        <v>1</v>
      </c>
      <c r="D68" s="1" t="s">
        <v>193</v>
      </c>
      <c r="E68" s="1" t="str">
        <f>IF(D68="ストーリー", INT((COUNTIF($D$2:D68, "ストーリー")-1)/3) + 1, "NA")</f>
        <v>NA</v>
      </c>
      <c r="F68" s="1" t="s">
        <v>21</v>
      </c>
      <c r="G68" s="1"/>
      <c r="H68" s="1"/>
      <c r="I68" s="1"/>
      <c r="J68" s="4"/>
      <c r="K68" s="4" t="s">
        <v>400</v>
      </c>
    </row>
    <row r="69" spans="1:11" s="6" customFormat="1" ht="18.75" hidden="1">
      <c r="A69" s="1">
        <f t="shared" si="1"/>
        <v>68</v>
      </c>
      <c r="B69" s="1" t="s">
        <v>156</v>
      </c>
      <c r="C69" s="1">
        <v>1</v>
      </c>
      <c r="D69" s="1" t="s">
        <v>193</v>
      </c>
      <c r="E69" s="1" t="str">
        <f>IF(D69="ストーリー", INT((COUNTIF($D$2:D69, "ストーリー")-1)/3) + 1, "NA")</f>
        <v>NA</v>
      </c>
      <c r="F69" s="1" t="s">
        <v>22</v>
      </c>
      <c r="G69" s="1"/>
      <c r="H69" s="1"/>
      <c r="I69" s="1"/>
      <c r="J69" s="4"/>
      <c r="K69" s="4" t="s">
        <v>400</v>
      </c>
    </row>
    <row r="70" spans="1:11" s="6" customFormat="1" ht="18.75" hidden="1">
      <c r="A70" s="1">
        <f t="shared" si="1"/>
        <v>69</v>
      </c>
      <c r="B70" s="1" t="s">
        <v>156</v>
      </c>
      <c r="C70" s="1">
        <v>1</v>
      </c>
      <c r="D70" s="1" t="s">
        <v>193</v>
      </c>
      <c r="E70" s="1" t="str">
        <f>IF(D70="ストーリー", INT((COUNTIF($D$2:D70, "ストーリー")-1)/3) + 1, "NA")</f>
        <v>NA</v>
      </c>
      <c r="F70" s="1" t="s">
        <v>23</v>
      </c>
      <c r="G70" s="1"/>
      <c r="H70" s="1"/>
      <c r="I70" s="1"/>
      <c r="J70" s="4"/>
      <c r="K70" s="4" t="s">
        <v>400</v>
      </c>
    </row>
    <row r="71" spans="1:11" s="6" customFormat="1" ht="18.75" hidden="1">
      <c r="A71" s="1">
        <f t="shared" si="1"/>
        <v>70</v>
      </c>
      <c r="B71" s="1" t="s">
        <v>156</v>
      </c>
      <c r="C71" s="1">
        <v>1</v>
      </c>
      <c r="D71" s="1" t="s">
        <v>193</v>
      </c>
      <c r="E71" s="1" t="str">
        <f>IF(D71="ストーリー", INT((COUNTIF($D$2:D71, "ストーリー")-1)/3) + 1, "NA")</f>
        <v>NA</v>
      </c>
      <c r="F71" s="1" t="s">
        <v>24</v>
      </c>
      <c r="G71" s="1"/>
      <c r="H71" s="1"/>
      <c r="I71" s="1"/>
      <c r="J71" s="4"/>
      <c r="K71" s="4" t="s">
        <v>400</v>
      </c>
    </row>
    <row r="72" spans="1:11" s="6" customFormat="1" ht="18.75" hidden="1">
      <c r="A72" s="1">
        <f t="shared" si="1"/>
        <v>71</v>
      </c>
      <c r="B72" s="1" t="s">
        <v>156</v>
      </c>
      <c r="C72" s="1">
        <v>1</v>
      </c>
      <c r="D72" s="1" t="s">
        <v>193</v>
      </c>
      <c r="E72" s="1" t="str">
        <f>IF(D72="ストーリー", INT((COUNTIF($D$2:D72, "ストーリー")-1)/3) + 1, "NA")</f>
        <v>NA</v>
      </c>
      <c r="F72" s="1" t="s">
        <v>25</v>
      </c>
      <c r="G72" s="1"/>
      <c r="H72" s="1"/>
      <c r="I72" s="1"/>
      <c r="J72" s="4"/>
      <c r="K72" s="4" t="s">
        <v>400</v>
      </c>
    </row>
    <row r="73" spans="1:11" s="6" customFormat="1" ht="18.75" hidden="1">
      <c r="A73" s="1">
        <f t="shared" si="1"/>
        <v>72</v>
      </c>
      <c r="B73" s="1" t="s">
        <v>156</v>
      </c>
      <c r="C73" s="1">
        <v>1</v>
      </c>
      <c r="D73" s="1" t="s">
        <v>193</v>
      </c>
      <c r="E73" s="1" t="str">
        <f>IF(D73="ストーリー", INT((COUNTIF($D$2:D73, "ストーリー")-1)/3) + 1, "NA")</f>
        <v>NA</v>
      </c>
      <c r="F73" s="1" t="s">
        <v>26</v>
      </c>
      <c r="G73" s="1"/>
      <c r="H73" s="1"/>
      <c r="I73" s="1"/>
      <c r="J73" s="4"/>
      <c r="K73" s="4" t="s">
        <v>400</v>
      </c>
    </row>
    <row r="74" spans="1:11" s="6" customFormat="1" ht="18.75" hidden="1">
      <c r="A74" s="1">
        <f t="shared" si="1"/>
        <v>73</v>
      </c>
      <c r="B74" s="1" t="s">
        <v>156</v>
      </c>
      <c r="C74" s="1">
        <v>1</v>
      </c>
      <c r="D74" s="1" t="s">
        <v>193</v>
      </c>
      <c r="E74" s="1" t="str">
        <f>IF(D74="ストーリー", INT((COUNTIF($D$2:D74, "ストーリー")-1)/3) + 1, "NA")</f>
        <v>NA</v>
      </c>
      <c r="F74" s="1" t="s">
        <v>27</v>
      </c>
      <c r="G74" s="1"/>
      <c r="H74" s="1"/>
      <c r="I74" s="1"/>
      <c r="J74" s="4"/>
      <c r="K74" s="4" t="s">
        <v>400</v>
      </c>
    </row>
    <row r="75" spans="1:11" s="6" customFormat="1" ht="18.75" hidden="1">
      <c r="A75" s="1">
        <f t="shared" si="1"/>
        <v>74</v>
      </c>
      <c r="B75" s="1" t="s">
        <v>156</v>
      </c>
      <c r="C75" s="1">
        <v>1</v>
      </c>
      <c r="D75" s="1" t="s">
        <v>193</v>
      </c>
      <c r="E75" s="1" t="str">
        <f>IF(D75="ストーリー", INT((COUNTIF($D$2:D75, "ストーリー")-1)/3) + 1, "NA")</f>
        <v>NA</v>
      </c>
      <c r="F75" s="1" t="s">
        <v>28</v>
      </c>
      <c r="G75" s="1"/>
      <c r="H75" s="1"/>
      <c r="I75" s="1"/>
      <c r="J75" s="4"/>
      <c r="K75" s="4" t="s">
        <v>400</v>
      </c>
    </row>
    <row r="76" spans="1:11" ht="63" hidden="1">
      <c r="A76" s="1">
        <f t="shared" ref="A76:A139" si="2">ROW()-1</f>
        <v>75</v>
      </c>
      <c r="B76" s="1">
        <v>2023</v>
      </c>
      <c r="C76" s="1">
        <v>5</v>
      </c>
      <c r="D76" s="1" t="s">
        <v>198</v>
      </c>
      <c r="E76" s="1" t="str">
        <f>IF(D76="ストーリー", INT((COUNTIF($D$2:D76, "ストーリー")-1)/3) + 1, "NA")</f>
        <v>NA</v>
      </c>
      <c r="F76" s="1" t="s">
        <v>212</v>
      </c>
      <c r="G76" s="2" t="s">
        <v>200</v>
      </c>
      <c r="H76" s="1">
        <v>2</v>
      </c>
      <c r="I76" s="1" t="s">
        <v>339</v>
      </c>
      <c r="J76" s="1" t="s">
        <v>370</v>
      </c>
      <c r="K76" s="4" t="s">
        <v>400</v>
      </c>
    </row>
    <row r="77" spans="1:11" ht="63" hidden="1">
      <c r="A77" s="1">
        <f t="shared" si="2"/>
        <v>76</v>
      </c>
      <c r="B77" s="1">
        <v>2023</v>
      </c>
      <c r="C77" s="1">
        <v>5</v>
      </c>
      <c r="D77" s="1" t="s">
        <v>198</v>
      </c>
      <c r="E77" s="1" t="str">
        <f>IF(D77="ストーリー", INT((COUNTIF($D$2:D77, "ストーリー")-1)/3) + 1, "NA")</f>
        <v>NA</v>
      </c>
      <c r="F77" s="1" t="s">
        <v>212</v>
      </c>
      <c r="G77" s="2" t="s">
        <v>201</v>
      </c>
      <c r="H77" s="1">
        <v>3</v>
      </c>
      <c r="I77" s="1" t="s">
        <v>340</v>
      </c>
      <c r="J77" s="1" t="s">
        <v>371</v>
      </c>
      <c r="K77" s="4" t="s">
        <v>400</v>
      </c>
    </row>
    <row r="78" spans="1:11" ht="63" hidden="1">
      <c r="A78" s="1">
        <f t="shared" si="2"/>
        <v>77</v>
      </c>
      <c r="B78" s="1">
        <v>2023</v>
      </c>
      <c r="C78" s="1">
        <v>5</v>
      </c>
      <c r="D78" s="1" t="s">
        <v>198</v>
      </c>
      <c r="E78" s="1" t="str">
        <f>IF(D78="ストーリー", INT((COUNTIF($D$2:D78, "ストーリー")-1)/3) + 1, "NA")</f>
        <v>NA</v>
      </c>
      <c r="F78" s="1" t="s">
        <v>212</v>
      </c>
      <c r="G78" s="2" t="s">
        <v>202</v>
      </c>
      <c r="H78" s="1">
        <v>3</v>
      </c>
      <c r="I78" s="1" t="s">
        <v>334</v>
      </c>
      <c r="J78" s="1" t="s">
        <v>372</v>
      </c>
      <c r="K78" s="4" t="s">
        <v>400</v>
      </c>
    </row>
    <row r="79" spans="1:11" ht="63" hidden="1">
      <c r="A79" s="1">
        <f t="shared" si="2"/>
        <v>78</v>
      </c>
      <c r="B79" s="1">
        <v>2023</v>
      </c>
      <c r="C79" s="1">
        <v>5</v>
      </c>
      <c r="D79" s="1" t="s">
        <v>198</v>
      </c>
      <c r="E79" s="1" t="str">
        <f>IF(D79="ストーリー", INT((COUNTIF($D$2:D79, "ストーリー")-1)/3) + 1, "NA")</f>
        <v>NA</v>
      </c>
      <c r="F79" s="1" t="s">
        <v>212</v>
      </c>
      <c r="G79" s="2" t="s">
        <v>203</v>
      </c>
      <c r="H79" s="1">
        <v>1</v>
      </c>
      <c r="I79" s="1" t="s">
        <v>338</v>
      </c>
      <c r="J79" s="1" t="s">
        <v>373</v>
      </c>
      <c r="K79" s="4" t="s">
        <v>400</v>
      </c>
    </row>
    <row r="80" spans="1:11" ht="63" hidden="1">
      <c r="A80" s="1">
        <f t="shared" si="2"/>
        <v>79</v>
      </c>
      <c r="B80" s="1">
        <v>2023</v>
      </c>
      <c r="C80" s="1">
        <v>5</v>
      </c>
      <c r="D80" s="1" t="s">
        <v>204</v>
      </c>
      <c r="E80" s="1" t="str">
        <f>IF(D80="ストーリー", INT((COUNTIF($D$2:D80, "ストーリー")-1)/3) + 1, "NA")</f>
        <v>NA</v>
      </c>
      <c r="F80" s="1" t="s">
        <v>205</v>
      </c>
      <c r="G80" s="2" t="s">
        <v>213</v>
      </c>
      <c r="H80" s="1">
        <v>3</v>
      </c>
      <c r="I80" s="1" t="s">
        <v>355</v>
      </c>
      <c r="J80" s="1" t="s">
        <v>308</v>
      </c>
      <c r="K80" s="4" t="s">
        <v>400</v>
      </c>
    </row>
    <row r="81" spans="1:11" ht="63" hidden="1">
      <c r="A81" s="1">
        <f t="shared" si="2"/>
        <v>80</v>
      </c>
      <c r="B81" s="1">
        <v>2023</v>
      </c>
      <c r="C81" s="1">
        <v>5</v>
      </c>
      <c r="D81" s="1" t="s">
        <v>204</v>
      </c>
      <c r="E81" s="1" t="str">
        <f>IF(D81="ストーリー", INT((COUNTIF($D$2:D81, "ストーリー")-1)/3) + 1, "NA")</f>
        <v>NA</v>
      </c>
      <c r="F81" s="1" t="s">
        <v>206</v>
      </c>
      <c r="G81" s="2" t="s">
        <v>214</v>
      </c>
      <c r="H81" s="1">
        <v>2</v>
      </c>
      <c r="I81" s="1" t="s">
        <v>356</v>
      </c>
      <c r="J81" s="1" t="s">
        <v>309</v>
      </c>
      <c r="K81" s="4" t="s">
        <v>400</v>
      </c>
    </row>
    <row r="82" spans="1:11" ht="63" hidden="1">
      <c r="A82" s="1">
        <f t="shared" si="2"/>
        <v>81</v>
      </c>
      <c r="B82" s="1">
        <v>2023</v>
      </c>
      <c r="C82" s="1">
        <v>5</v>
      </c>
      <c r="D82" s="1" t="s">
        <v>204</v>
      </c>
      <c r="E82" s="1" t="str">
        <f>IF(D82="ストーリー", INT((COUNTIF($D$2:D82, "ストーリー")-1)/3) + 1, "NA")</f>
        <v>NA</v>
      </c>
      <c r="F82" s="1" t="s">
        <v>207</v>
      </c>
      <c r="G82" s="2" t="s">
        <v>215</v>
      </c>
      <c r="H82" s="1">
        <v>4</v>
      </c>
      <c r="I82" s="1" t="s">
        <v>357</v>
      </c>
      <c r="J82" s="1" t="s">
        <v>310</v>
      </c>
      <c r="K82" s="4" t="s">
        <v>400</v>
      </c>
    </row>
    <row r="83" spans="1:11" ht="63" hidden="1">
      <c r="A83" s="1">
        <f t="shared" si="2"/>
        <v>82</v>
      </c>
      <c r="B83" s="1">
        <v>2023</v>
      </c>
      <c r="C83" s="1">
        <v>5</v>
      </c>
      <c r="D83" s="1" t="s">
        <v>204</v>
      </c>
      <c r="E83" s="1" t="str">
        <f>IF(D83="ストーリー", INT((COUNTIF($D$2:D83, "ストーリー")-1)/3) + 1, "NA")</f>
        <v>NA</v>
      </c>
      <c r="F83" s="1" t="s">
        <v>208</v>
      </c>
      <c r="G83" s="2" t="s">
        <v>216</v>
      </c>
      <c r="H83" s="1">
        <v>2</v>
      </c>
      <c r="I83" s="1" t="s">
        <v>358</v>
      </c>
      <c r="J83" s="1" t="s">
        <v>311</v>
      </c>
      <c r="K83" s="4" t="s">
        <v>400</v>
      </c>
    </row>
    <row r="84" spans="1:11" ht="63" hidden="1">
      <c r="A84" s="1">
        <f t="shared" si="2"/>
        <v>83</v>
      </c>
      <c r="B84" s="1">
        <v>2023</v>
      </c>
      <c r="C84" s="1">
        <v>5</v>
      </c>
      <c r="D84" s="1" t="s">
        <v>204</v>
      </c>
      <c r="E84" s="1" t="str">
        <f>IF(D84="ストーリー", INT((COUNTIF($D$2:D84, "ストーリー")-1)/3) + 1, "NA")</f>
        <v>NA</v>
      </c>
      <c r="F84" s="1" t="s">
        <v>209</v>
      </c>
      <c r="G84" s="2" t="s">
        <v>217</v>
      </c>
      <c r="H84" s="1">
        <v>1</v>
      </c>
      <c r="I84" s="1" t="s">
        <v>369</v>
      </c>
      <c r="J84" s="1" t="s">
        <v>312</v>
      </c>
      <c r="K84" s="4" t="s">
        <v>400</v>
      </c>
    </row>
    <row r="85" spans="1:11" ht="63" hidden="1">
      <c r="A85" s="1">
        <f t="shared" si="2"/>
        <v>84</v>
      </c>
      <c r="B85" s="1">
        <v>2023</v>
      </c>
      <c r="C85" s="1">
        <v>5</v>
      </c>
      <c r="D85" s="1" t="s">
        <v>204</v>
      </c>
      <c r="E85" s="1" t="str">
        <f>IF(D85="ストーリー", INT((COUNTIF($D$2:D85, "ストーリー")-1)/3) + 1, "NA")</f>
        <v>NA</v>
      </c>
      <c r="F85" s="1" t="s">
        <v>210</v>
      </c>
      <c r="G85" s="2" t="s">
        <v>314</v>
      </c>
      <c r="H85" s="1">
        <v>1</v>
      </c>
      <c r="I85" s="1" t="s">
        <v>359</v>
      </c>
      <c r="J85" s="1" t="s">
        <v>313</v>
      </c>
      <c r="K85" s="4" t="s">
        <v>400</v>
      </c>
    </row>
    <row r="86" spans="1:11" ht="63" hidden="1">
      <c r="A86" s="1">
        <f t="shared" si="2"/>
        <v>85</v>
      </c>
      <c r="B86" s="1">
        <v>2023</v>
      </c>
      <c r="C86" s="1">
        <v>4</v>
      </c>
      <c r="D86" s="1" t="s">
        <v>198</v>
      </c>
      <c r="E86" s="1" t="str">
        <f>IF(D86="ストーリー", INT((COUNTIF($D$2:D86, "ストーリー")-1)/3) + 1, "NA")</f>
        <v>NA</v>
      </c>
      <c r="F86" s="1" t="s">
        <v>212</v>
      </c>
      <c r="G86" s="2" t="s">
        <v>220</v>
      </c>
      <c r="H86" s="1">
        <v>1</v>
      </c>
      <c r="I86" s="1" t="s">
        <v>337</v>
      </c>
      <c r="J86" s="1" t="s">
        <v>1055</v>
      </c>
      <c r="K86" s="4" t="s">
        <v>400</v>
      </c>
    </row>
    <row r="87" spans="1:11" ht="63" hidden="1">
      <c r="A87" s="1">
        <f t="shared" si="2"/>
        <v>86</v>
      </c>
      <c r="B87" s="1">
        <v>2023</v>
      </c>
      <c r="C87" s="1">
        <v>4</v>
      </c>
      <c r="D87" s="1" t="s">
        <v>198</v>
      </c>
      <c r="E87" s="1" t="str">
        <f>IF(D87="ストーリー", INT((COUNTIF($D$2:D87, "ストーリー")-1)/3) + 1, "NA")</f>
        <v>NA</v>
      </c>
      <c r="F87" s="1" t="s">
        <v>212</v>
      </c>
      <c r="G87" s="2" t="s">
        <v>221</v>
      </c>
      <c r="H87" s="1">
        <v>2</v>
      </c>
      <c r="I87" s="1" t="s">
        <v>336</v>
      </c>
      <c r="J87" s="1" t="s">
        <v>374</v>
      </c>
      <c r="K87" s="4" t="s">
        <v>400</v>
      </c>
    </row>
    <row r="88" spans="1:11" ht="63" hidden="1">
      <c r="A88" s="1">
        <f t="shared" si="2"/>
        <v>87</v>
      </c>
      <c r="B88" s="1">
        <v>2023</v>
      </c>
      <c r="C88" s="1">
        <v>4</v>
      </c>
      <c r="D88" s="1" t="s">
        <v>198</v>
      </c>
      <c r="E88" s="1" t="str">
        <f>IF(D88="ストーリー", INT((COUNTIF($D$2:D88, "ストーリー")-1)/3) + 1, "NA")</f>
        <v>NA</v>
      </c>
      <c r="F88" s="1" t="s">
        <v>212</v>
      </c>
      <c r="G88" s="2" t="s">
        <v>222</v>
      </c>
      <c r="H88" s="1">
        <v>3</v>
      </c>
      <c r="I88" s="1" t="s">
        <v>335</v>
      </c>
      <c r="J88" s="1" t="s">
        <v>375</v>
      </c>
      <c r="K88" s="4" t="s">
        <v>400</v>
      </c>
    </row>
    <row r="89" spans="1:11" ht="63" hidden="1">
      <c r="A89" s="1">
        <f t="shared" si="2"/>
        <v>88</v>
      </c>
      <c r="B89" s="1">
        <v>2023</v>
      </c>
      <c r="C89" s="1">
        <v>4</v>
      </c>
      <c r="D89" s="1" t="s">
        <v>198</v>
      </c>
      <c r="E89" s="1" t="str">
        <f>IF(D89="ストーリー", INT((COUNTIF($D$2:D89, "ストーリー")-1)/3) + 1, "NA")</f>
        <v>NA</v>
      </c>
      <c r="F89" s="1" t="s">
        <v>212</v>
      </c>
      <c r="G89" s="2" t="s">
        <v>223</v>
      </c>
      <c r="H89" s="1">
        <v>4</v>
      </c>
      <c r="I89" s="1" t="s">
        <v>333</v>
      </c>
      <c r="J89" s="1" t="s">
        <v>376</v>
      </c>
      <c r="K89" s="4" t="s">
        <v>400</v>
      </c>
    </row>
    <row r="90" spans="1:11" ht="63" hidden="1">
      <c r="A90" s="1">
        <f t="shared" si="2"/>
        <v>89</v>
      </c>
      <c r="B90" s="1">
        <v>2023</v>
      </c>
      <c r="C90" s="1">
        <v>4</v>
      </c>
      <c r="D90" s="1" t="s">
        <v>198</v>
      </c>
      <c r="E90" s="1" t="str">
        <f>IF(D90="ストーリー", INT((COUNTIF($D$2:D90, "ストーリー")-1)/3) + 1, "NA")</f>
        <v>NA</v>
      </c>
      <c r="F90" s="1" t="s">
        <v>212</v>
      </c>
      <c r="G90" s="2" t="s">
        <v>224</v>
      </c>
      <c r="H90" s="1">
        <v>2</v>
      </c>
      <c r="I90" s="1" t="s">
        <v>342</v>
      </c>
      <c r="J90" s="1" t="s">
        <v>377</v>
      </c>
      <c r="K90" s="4" t="s">
        <v>400</v>
      </c>
    </row>
    <row r="91" spans="1:11" ht="63" hidden="1">
      <c r="A91" s="1">
        <f t="shared" si="2"/>
        <v>90</v>
      </c>
      <c r="B91" s="1">
        <v>2023</v>
      </c>
      <c r="C91" s="1">
        <v>4</v>
      </c>
      <c r="D91" s="1" t="s">
        <v>204</v>
      </c>
      <c r="E91" s="1" t="str">
        <f>IF(D91="ストーリー", INT((COUNTIF($D$2:D91, "ストーリー")-1)/3) + 1, "NA")</f>
        <v>NA</v>
      </c>
      <c r="F91" s="1" t="s">
        <v>243</v>
      </c>
      <c r="G91" s="2" t="s">
        <v>242</v>
      </c>
      <c r="H91" s="1">
        <v>1</v>
      </c>
      <c r="I91" s="1" t="s">
        <v>368</v>
      </c>
      <c r="J91" s="1" t="s">
        <v>315</v>
      </c>
      <c r="K91" s="4" t="s">
        <v>400</v>
      </c>
    </row>
    <row r="92" spans="1:11" ht="63" hidden="1">
      <c r="A92" s="1">
        <f t="shared" si="2"/>
        <v>91</v>
      </c>
      <c r="B92" s="1">
        <v>2023</v>
      </c>
      <c r="C92" s="1">
        <v>4</v>
      </c>
      <c r="D92" s="1" t="s">
        <v>204</v>
      </c>
      <c r="E92" s="1" t="str">
        <f>IF(D92="ストーリー", INT((COUNTIF($D$2:D92, "ストーリー")-1)/3) + 1, "NA")</f>
        <v>NA</v>
      </c>
      <c r="F92" s="1" t="s">
        <v>225</v>
      </c>
      <c r="G92" s="2" t="s">
        <v>244</v>
      </c>
      <c r="H92" s="1">
        <v>1</v>
      </c>
      <c r="I92" s="1" t="s">
        <v>367</v>
      </c>
      <c r="J92" s="1" t="s">
        <v>316</v>
      </c>
      <c r="K92" s="4" t="s">
        <v>400</v>
      </c>
    </row>
    <row r="93" spans="1:11" ht="63" hidden="1">
      <c r="A93" s="1">
        <f t="shared" si="2"/>
        <v>92</v>
      </c>
      <c r="B93" s="1">
        <v>2023</v>
      </c>
      <c r="C93" s="1">
        <v>4</v>
      </c>
      <c r="D93" s="1" t="s">
        <v>204</v>
      </c>
      <c r="E93" s="1" t="str">
        <f>IF(D93="ストーリー", INT((COUNTIF($D$2:D93, "ストーリー")-1)/3) + 1, "NA")</f>
        <v>NA</v>
      </c>
      <c r="F93" s="1" t="s">
        <v>226</v>
      </c>
      <c r="G93" s="2" t="s">
        <v>245</v>
      </c>
      <c r="H93" s="1">
        <v>2</v>
      </c>
      <c r="I93" s="1" t="s">
        <v>366</v>
      </c>
      <c r="J93" s="1" t="s">
        <v>317</v>
      </c>
      <c r="K93" s="4" t="s">
        <v>400</v>
      </c>
    </row>
    <row r="94" spans="1:11" ht="63" hidden="1">
      <c r="A94" s="1">
        <f t="shared" si="2"/>
        <v>93</v>
      </c>
      <c r="B94" s="1">
        <v>2023</v>
      </c>
      <c r="C94" s="1">
        <v>4</v>
      </c>
      <c r="D94" s="1" t="s">
        <v>204</v>
      </c>
      <c r="E94" s="1" t="str">
        <f>IF(D94="ストーリー", INT((COUNTIF($D$2:D94, "ストーリー")-1)/3) + 1, "NA")</f>
        <v>NA</v>
      </c>
      <c r="F94" s="1" t="s">
        <v>227</v>
      </c>
      <c r="G94" s="2" t="s">
        <v>246</v>
      </c>
      <c r="H94" s="1">
        <v>4</v>
      </c>
      <c r="I94" s="1" t="s">
        <v>365</v>
      </c>
      <c r="J94" s="1" t="s">
        <v>318</v>
      </c>
      <c r="K94" s="4" t="s">
        <v>400</v>
      </c>
    </row>
    <row r="95" spans="1:11" ht="63" hidden="1">
      <c r="A95" s="1">
        <f t="shared" si="2"/>
        <v>94</v>
      </c>
      <c r="B95" s="1">
        <v>2023</v>
      </c>
      <c r="C95" s="1">
        <v>4</v>
      </c>
      <c r="D95" s="1" t="s">
        <v>204</v>
      </c>
      <c r="E95" s="1" t="str">
        <f>IF(D95="ストーリー", INT((COUNTIF($D$2:D95, "ストーリー")-1)/3) + 1, "NA")</f>
        <v>NA</v>
      </c>
      <c r="F95" s="1" t="s">
        <v>228</v>
      </c>
      <c r="G95" s="2" t="s">
        <v>247</v>
      </c>
      <c r="H95" s="1">
        <v>1</v>
      </c>
      <c r="I95" s="1" t="s">
        <v>364</v>
      </c>
      <c r="J95" s="1" t="s">
        <v>319</v>
      </c>
      <c r="K95" s="4" t="s">
        <v>400</v>
      </c>
    </row>
    <row r="96" spans="1:11" ht="63" hidden="1">
      <c r="A96" s="1">
        <f t="shared" si="2"/>
        <v>95</v>
      </c>
      <c r="B96" s="1">
        <v>2023</v>
      </c>
      <c r="C96" s="1">
        <v>3</v>
      </c>
      <c r="D96" s="1" t="s">
        <v>198</v>
      </c>
      <c r="E96" s="1" t="str">
        <f>IF(D96="ストーリー", INT((COUNTIF($D$2:D96, "ストーリー")-1)/3) + 1, "NA")</f>
        <v>NA</v>
      </c>
      <c r="F96" s="1" t="s">
        <v>212</v>
      </c>
      <c r="G96" s="2" t="s">
        <v>229</v>
      </c>
      <c r="H96" s="1">
        <v>1</v>
      </c>
      <c r="I96" s="1" t="s">
        <v>341</v>
      </c>
      <c r="J96" s="1" t="s">
        <v>392</v>
      </c>
      <c r="K96" s="4" t="s">
        <v>400</v>
      </c>
    </row>
    <row r="97" spans="1:11" ht="63" hidden="1">
      <c r="A97" s="1">
        <f t="shared" si="2"/>
        <v>96</v>
      </c>
      <c r="B97" s="1">
        <v>2023</v>
      </c>
      <c r="C97" s="1">
        <v>3</v>
      </c>
      <c r="D97" s="1" t="s">
        <v>198</v>
      </c>
      <c r="E97" s="1" t="str">
        <f>IF(D97="ストーリー", INT((COUNTIF($D$2:D97, "ストーリー")-1)/3) + 1, "NA")</f>
        <v>NA</v>
      </c>
      <c r="F97" s="1" t="s">
        <v>212</v>
      </c>
      <c r="G97" s="2" t="s">
        <v>230</v>
      </c>
      <c r="H97" s="1">
        <v>4</v>
      </c>
      <c r="I97" s="1" t="s">
        <v>349</v>
      </c>
      <c r="J97" s="1" t="s">
        <v>393</v>
      </c>
      <c r="K97" s="4" t="s">
        <v>400</v>
      </c>
    </row>
    <row r="98" spans="1:11" ht="63" hidden="1">
      <c r="A98" s="1">
        <f t="shared" si="2"/>
        <v>97</v>
      </c>
      <c r="B98" s="1">
        <v>2023</v>
      </c>
      <c r="C98" s="1">
        <v>3</v>
      </c>
      <c r="D98" s="1" t="s">
        <v>198</v>
      </c>
      <c r="E98" s="1" t="str">
        <f>IF(D98="ストーリー", INT((COUNTIF($D$2:D98, "ストーリー")-1)/3) + 1, "NA")</f>
        <v>NA</v>
      </c>
      <c r="F98" s="1" t="s">
        <v>212</v>
      </c>
      <c r="G98" s="2" t="s">
        <v>231</v>
      </c>
      <c r="H98" s="1">
        <v>2</v>
      </c>
      <c r="I98" s="1" t="s">
        <v>343</v>
      </c>
      <c r="J98" s="1" t="s">
        <v>394</v>
      </c>
      <c r="K98" s="4" t="s">
        <v>400</v>
      </c>
    </row>
    <row r="99" spans="1:11" ht="63" hidden="1">
      <c r="A99" s="1">
        <f t="shared" si="2"/>
        <v>98</v>
      </c>
      <c r="B99" s="1">
        <v>2023</v>
      </c>
      <c r="C99" s="1">
        <v>3</v>
      </c>
      <c r="D99" s="1" t="s">
        <v>198</v>
      </c>
      <c r="E99" s="1" t="str">
        <f>IF(D99="ストーリー", INT((COUNTIF($D$2:D99, "ストーリー")-1)/3) + 1, "NA")</f>
        <v>NA</v>
      </c>
      <c r="F99" s="1" t="s">
        <v>212</v>
      </c>
      <c r="G99" s="2" t="s">
        <v>232</v>
      </c>
      <c r="H99" s="1">
        <v>4</v>
      </c>
      <c r="I99" s="1" t="s">
        <v>344</v>
      </c>
      <c r="J99" s="1" t="s">
        <v>395</v>
      </c>
      <c r="K99" s="4" t="s">
        <v>400</v>
      </c>
    </row>
    <row r="100" spans="1:11" ht="63" hidden="1">
      <c r="A100" s="1">
        <f t="shared" si="2"/>
        <v>99</v>
      </c>
      <c r="B100" s="1">
        <v>2023</v>
      </c>
      <c r="C100" s="1">
        <v>3</v>
      </c>
      <c r="D100" s="1" t="s">
        <v>198</v>
      </c>
      <c r="E100" s="1" t="str">
        <f>IF(D100="ストーリー", INT((COUNTIF($D$2:D100, "ストーリー")-1)/3) + 1, "NA")</f>
        <v>NA</v>
      </c>
      <c r="F100" s="1" t="s">
        <v>212</v>
      </c>
      <c r="G100" s="2" t="s">
        <v>233</v>
      </c>
      <c r="H100" s="1">
        <v>2</v>
      </c>
      <c r="I100" s="1" t="s">
        <v>345</v>
      </c>
      <c r="J100" s="1" t="s">
        <v>396</v>
      </c>
      <c r="K100" s="4" t="s">
        <v>400</v>
      </c>
    </row>
    <row r="101" spans="1:11" ht="63" hidden="1">
      <c r="A101" s="1">
        <f t="shared" si="2"/>
        <v>100</v>
      </c>
      <c r="B101" s="1">
        <v>2023</v>
      </c>
      <c r="C101" s="1">
        <v>3</v>
      </c>
      <c r="D101" s="1" t="s">
        <v>204</v>
      </c>
      <c r="E101" s="1" t="str">
        <f>IF(D101="ストーリー", INT((COUNTIF($D$2:D101, "ストーリー")-1)/3) + 1, "NA")</f>
        <v>NA</v>
      </c>
      <c r="F101" s="1" t="s">
        <v>248</v>
      </c>
      <c r="G101" s="2" t="s">
        <v>253</v>
      </c>
      <c r="H101" s="1">
        <v>4</v>
      </c>
      <c r="I101" s="1" t="s">
        <v>363</v>
      </c>
      <c r="J101" s="1" t="s">
        <v>391</v>
      </c>
      <c r="K101" s="4" t="s">
        <v>400</v>
      </c>
    </row>
    <row r="102" spans="1:11" ht="63" hidden="1">
      <c r="A102" s="1">
        <f t="shared" si="2"/>
        <v>101</v>
      </c>
      <c r="B102" s="1">
        <v>2023</v>
      </c>
      <c r="C102" s="1">
        <v>3</v>
      </c>
      <c r="D102" s="1" t="s">
        <v>204</v>
      </c>
      <c r="E102" s="1" t="str">
        <f>IF(D102="ストーリー", INT((COUNTIF($D$2:D102, "ストーリー")-1)/3) + 1, "NA")</f>
        <v>NA</v>
      </c>
      <c r="F102" s="1" t="s">
        <v>249</v>
      </c>
      <c r="G102" s="2" t="s">
        <v>254</v>
      </c>
      <c r="H102" s="1">
        <v>3</v>
      </c>
      <c r="I102" s="1" t="s">
        <v>362</v>
      </c>
      <c r="J102" s="1" t="s">
        <v>320</v>
      </c>
      <c r="K102" s="4" t="s">
        <v>400</v>
      </c>
    </row>
    <row r="103" spans="1:11" ht="63" hidden="1">
      <c r="A103" s="1">
        <f t="shared" si="2"/>
        <v>102</v>
      </c>
      <c r="B103" s="1">
        <v>2023</v>
      </c>
      <c r="C103" s="1">
        <v>3</v>
      </c>
      <c r="D103" s="1" t="s">
        <v>204</v>
      </c>
      <c r="E103" s="1" t="str">
        <f>IF(D103="ストーリー", INT((COUNTIF($D$2:D103, "ストーリー")-1)/3) + 1, "NA")</f>
        <v>NA</v>
      </c>
      <c r="F103" s="1" t="s">
        <v>250</v>
      </c>
      <c r="G103" s="2" t="s">
        <v>255</v>
      </c>
      <c r="H103" s="1">
        <v>2</v>
      </c>
      <c r="I103" s="1" t="s">
        <v>360</v>
      </c>
      <c r="J103" s="1" t="s">
        <v>322</v>
      </c>
      <c r="K103" s="4" t="s">
        <v>400</v>
      </c>
    </row>
    <row r="104" spans="1:11" ht="63" hidden="1">
      <c r="A104" s="1">
        <f t="shared" si="2"/>
        <v>103</v>
      </c>
      <c r="B104" s="1">
        <v>2023</v>
      </c>
      <c r="C104" s="1">
        <v>3</v>
      </c>
      <c r="D104" s="1" t="s">
        <v>204</v>
      </c>
      <c r="E104" s="1" t="str">
        <f>IF(D104="ストーリー", INT((COUNTIF($D$2:D104, "ストーリー")-1)/3) + 1, "NA")</f>
        <v>NA</v>
      </c>
      <c r="F104" s="1" t="s">
        <v>251</v>
      </c>
      <c r="G104" s="2" t="s">
        <v>256</v>
      </c>
      <c r="H104" s="1">
        <v>3</v>
      </c>
      <c r="I104" s="1" t="s">
        <v>361</v>
      </c>
      <c r="J104" s="1" t="s">
        <v>321</v>
      </c>
      <c r="K104" s="4" t="s">
        <v>400</v>
      </c>
    </row>
    <row r="105" spans="1:11" ht="63" hidden="1">
      <c r="A105" s="1">
        <f t="shared" si="2"/>
        <v>104</v>
      </c>
      <c r="B105" s="1">
        <v>2023</v>
      </c>
      <c r="C105" s="1">
        <v>3</v>
      </c>
      <c r="D105" s="1" t="s">
        <v>204</v>
      </c>
      <c r="E105" s="1" t="str">
        <f>IF(D105="ストーリー", INT((COUNTIF($D$2:D105, "ストーリー")-1)/3) + 1, "NA")</f>
        <v>NA</v>
      </c>
      <c r="F105" s="1" t="s">
        <v>252</v>
      </c>
      <c r="G105" s="2" t="s">
        <v>257</v>
      </c>
      <c r="H105" s="1">
        <v>1</v>
      </c>
      <c r="I105" s="1" t="s">
        <v>361</v>
      </c>
      <c r="J105" s="1" t="s">
        <v>321</v>
      </c>
      <c r="K105" s="4" t="s">
        <v>400</v>
      </c>
    </row>
    <row r="106" spans="1:11" ht="63" hidden="1">
      <c r="A106" s="1">
        <f t="shared" si="2"/>
        <v>105</v>
      </c>
      <c r="B106" s="1">
        <v>2023</v>
      </c>
      <c r="C106" s="1">
        <v>2</v>
      </c>
      <c r="D106" s="1" t="s">
        <v>198</v>
      </c>
      <c r="E106" s="1" t="str">
        <f>IF(D106="ストーリー", INT((COUNTIF($D$2:D106, "ストーリー")-1)/3) + 1, "NA")</f>
        <v>NA</v>
      </c>
      <c r="F106" s="1" t="s">
        <v>212</v>
      </c>
      <c r="G106" s="2" t="s">
        <v>234</v>
      </c>
      <c r="H106" s="1">
        <v>2</v>
      </c>
      <c r="I106" s="1" t="s">
        <v>346</v>
      </c>
      <c r="J106" s="2" t="s">
        <v>408</v>
      </c>
      <c r="K106" s="4" t="s">
        <v>400</v>
      </c>
    </row>
    <row r="107" spans="1:11" ht="63" hidden="1">
      <c r="A107" s="1">
        <f t="shared" si="2"/>
        <v>106</v>
      </c>
      <c r="B107" s="1">
        <v>2023</v>
      </c>
      <c r="C107" s="1">
        <v>2</v>
      </c>
      <c r="D107" s="1" t="s">
        <v>198</v>
      </c>
      <c r="E107" s="1" t="str">
        <f>IF(D107="ストーリー", INT((COUNTIF($D$2:D107, "ストーリー")-1)/3) + 1, "NA")</f>
        <v>NA</v>
      </c>
      <c r="F107" s="1" t="s">
        <v>212</v>
      </c>
      <c r="G107" s="2" t="s">
        <v>235</v>
      </c>
      <c r="H107" s="1">
        <v>1</v>
      </c>
      <c r="I107" s="1" t="s">
        <v>347</v>
      </c>
      <c r="J107" s="1" t="s">
        <v>397</v>
      </c>
      <c r="K107" s="4" t="s">
        <v>400</v>
      </c>
    </row>
    <row r="108" spans="1:11" ht="63" hidden="1">
      <c r="A108" s="1">
        <f t="shared" si="2"/>
        <v>107</v>
      </c>
      <c r="B108" s="1">
        <v>2023</v>
      </c>
      <c r="C108" s="1">
        <v>2</v>
      </c>
      <c r="D108" s="1" t="s">
        <v>198</v>
      </c>
      <c r="E108" s="1" t="str">
        <f>IF(D108="ストーリー", INT((COUNTIF($D$2:D108, "ストーリー")-1)/3) + 1, "NA")</f>
        <v>NA</v>
      </c>
      <c r="F108" s="1" t="s">
        <v>212</v>
      </c>
      <c r="G108" s="2" t="s">
        <v>236</v>
      </c>
      <c r="H108" s="1">
        <v>3</v>
      </c>
      <c r="I108" s="1" t="s">
        <v>348</v>
      </c>
      <c r="J108" s="1" t="s">
        <v>409</v>
      </c>
      <c r="K108" s="4" t="s">
        <v>400</v>
      </c>
    </row>
    <row r="109" spans="1:11" ht="63" hidden="1">
      <c r="A109" s="1">
        <f t="shared" si="2"/>
        <v>108</v>
      </c>
      <c r="B109" s="1">
        <v>2023</v>
      </c>
      <c r="C109" s="1">
        <v>2</v>
      </c>
      <c r="D109" s="1" t="s">
        <v>198</v>
      </c>
      <c r="E109" s="1" t="str">
        <f>IF(D109="ストーリー", INT((COUNTIF($D$2:D109, "ストーリー")-1)/3) + 1, "NA")</f>
        <v>NA</v>
      </c>
      <c r="F109" s="1" t="s">
        <v>212</v>
      </c>
      <c r="G109" s="2" t="s">
        <v>237</v>
      </c>
      <c r="H109" s="1">
        <v>4</v>
      </c>
      <c r="I109" s="1" t="s">
        <v>350</v>
      </c>
      <c r="J109" s="1" t="s">
        <v>407</v>
      </c>
      <c r="K109" s="4" t="s">
        <v>400</v>
      </c>
    </row>
    <row r="110" spans="1:11" ht="63" hidden="1">
      <c r="A110" s="1">
        <f t="shared" si="2"/>
        <v>109</v>
      </c>
      <c r="B110" s="1">
        <v>2023</v>
      </c>
      <c r="C110" s="1">
        <v>2</v>
      </c>
      <c r="D110" s="1" t="s">
        <v>218</v>
      </c>
      <c r="E110" s="1">
        <f>IF(D110="ストーリー", INT((COUNTIF($D$2:D110, "ストーリー")-1)/3) + 1, "NA")</f>
        <v>1</v>
      </c>
      <c r="F110" s="2" t="s">
        <v>258</v>
      </c>
      <c r="G110" s="2" t="s">
        <v>268</v>
      </c>
      <c r="H110" s="1">
        <v>1</v>
      </c>
      <c r="I110" s="1" t="s">
        <v>382</v>
      </c>
      <c r="J110" s="2" t="s">
        <v>323</v>
      </c>
      <c r="K110" s="4" t="s">
        <v>400</v>
      </c>
    </row>
    <row r="111" spans="1:11" ht="63" hidden="1">
      <c r="A111" s="1">
        <f t="shared" si="2"/>
        <v>110</v>
      </c>
      <c r="B111" s="1">
        <v>2023</v>
      </c>
      <c r="C111" s="1">
        <v>2</v>
      </c>
      <c r="D111" s="1" t="s">
        <v>218</v>
      </c>
      <c r="E111" s="1">
        <f>IF(D111="ストーリー", INT((COUNTIF($D$2:D111, "ストーリー")-1)/3) + 1, "NA")</f>
        <v>1</v>
      </c>
      <c r="F111" s="2" t="s">
        <v>260</v>
      </c>
      <c r="G111" s="2" t="s">
        <v>269</v>
      </c>
      <c r="H111" s="1">
        <v>2</v>
      </c>
      <c r="I111" s="1" t="s">
        <v>382</v>
      </c>
      <c r="J111" s="2" t="s">
        <v>323</v>
      </c>
      <c r="K111" s="4" t="s">
        <v>400</v>
      </c>
    </row>
    <row r="112" spans="1:11" ht="63" hidden="1">
      <c r="A112" s="1">
        <f t="shared" si="2"/>
        <v>111</v>
      </c>
      <c r="B112" s="1">
        <v>2023</v>
      </c>
      <c r="C112" s="1">
        <v>2</v>
      </c>
      <c r="D112" s="1" t="s">
        <v>218</v>
      </c>
      <c r="E112" s="1">
        <f>IF(D112="ストーリー", INT((COUNTIF($D$2:D112, "ストーリー")-1)/3) + 1, "NA")</f>
        <v>1</v>
      </c>
      <c r="F112" s="1" t="s">
        <v>261</v>
      </c>
      <c r="G112" s="2" t="s">
        <v>270</v>
      </c>
      <c r="H112" s="1">
        <v>2</v>
      </c>
      <c r="I112" s="1" t="s">
        <v>382</v>
      </c>
      <c r="J112" s="2" t="s">
        <v>323</v>
      </c>
      <c r="K112" s="4" t="s">
        <v>400</v>
      </c>
    </row>
    <row r="113" spans="1:11" ht="63" hidden="1">
      <c r="A113" s="1">
        <f t="shared" si="2"/>
        <v>112</v>
      </c>
      <c r="B113" s="1">
        <v>2023</v>
      </c>
      <c r="C113" s="1">
        <v>2</v>
      </c>
      <c r="D113" s="1" t="s">
        <v>218</v>
      </c>
      <c r="E113" s="1">
        <f>IF(D113="ストーリー", INT((COUNTIF($D$2:D113, "ストーリー")-1)/3) + 1, "NA")</f>
        <v>2</v>
      </c>
      <c r="F113" s="1" t="s">
        <v>262</v>
      </c>
      <c r="G113" s="2" t="s">
        <v>271</v>
      </c>
      <c r="H113" s="1">
        <v>1</v>
      </c>
      <c r="I113" s="1" t="s">
        <v>381</v>
      </c>
      <c r="J113" s="2" t="s">
        <v>324</v>
      </c>
      <c r="K113" s="4" t="s">
        <v>400</v>
      </c>
    </row>
    <row r="114" spans="1:11" ht="63" hidden="1">
      <c r="A114" s="1">
        <f t="shared" si="2"/>
        <v>113</v>
      </c>
      <c r="B114" s="1">
        <v>2023</v>
      </c>
      <c r="C114" s="1">
        <v>2</v>
      </c>
      <c r="D114" s="1" t="s">
        <v>218</v>
      </c>
      <c r="E114" s="1">
        <f>IF(D114="ストーリー", INT((COUNTIF($D$2:D114, "ストーリー")-1)/3) + 1, "NA")</f>
        <v>2</v>
      </c>
      <c r="F114" s="1" t="s">
        <v>263</v>
      </c>
      <c r="G114" s="2" t="s">
        <v>272</v>
      </c>
      <c r="H114" s="1">
        <v>3</v>
      </c>
      <c r="I114" s="1" t="s">
        <v>381</v>
      </c>
      <c r="J114" s="2" t="s">
        <v>324</v>
      </c>
      <c r="K114" s="4" t="s">
        <v>400</v>
      </c>
    </row>
    <row r="115" spans="1:11" ht="63" hidden="1">
      <c r="A115" s="1">
        <f t="shared" si="2"/>
        <v>114</v>
      </c>
      <c r="B115" s="1">
        <v>2023</v>
      </c>
      <c r="C115" s="1">
        <v>2</v>
      </c>
      <c r="D115" s="1" t="s">
        <v>218</v>
      </c>
      <c r="E115" s="1">
        <f>IF(D115="ストーリー", INT((COUNTIF($D$2:D115, "ストーリー")-1)/3) + 1, "NA")</f>
        <v>2</v>
      </c>
      <c r="F115" s="1" t="s">
        <v>264</v>
      </c>
      <c r="G115" s="2" t="s">
        <v>273</v>
      </c>
      <c r="H115" s="1">
        <v>4</v>
      </c>
      <c r="I115" s="1" t="s">
        <v>381</v>
      </c>
      <c r="J115" s="2" t="s">
        <v>324</v>
      </c>
      <c r="K115" s="4" t="s">
        <v>400</v>
      </c>
    </row>
    <row r="116" spans="1:11" ht="63" hidden="1">
      <c r="A116" s="1">
        <f t="shared" si="2"/>
        <v>115</v>
      </c>
      <c r="B116" s="1">
        <v>2023</v>
      </c>
      <c r="C116" s="1">
        <v>2</v>
      </c>
      <c r="D116" s="1" t="s">
        <v>218</v>
      </c>
      <c r="E116" s="1">
        <f>IF(D116="ストーリー", INT((COUNTIF($D$2:D116, "ストーリー")-1)/3) + 1, "NA")</f>
        <v>3</v>
      </c>
      <c r="F116" s="1" t="s">
        <v>265</v>
      </c>
      <c r="G116" s="2" t="s">
        <v>274</v>
      </c>
      <c r="H116" s="1">
        <v>3</v>
      </c>
      <c r="I116" s="1" t="s">
        <v>380</v>
      </c>
      <c r="J116" s="2" t="s">
        <v>325</v>
      </c>
      <c r="K116" s="4" t="s">
        <v>400</v>
      </c>
    </row>
    <row r="117" spans="1:11" ht="63" hidden="1">
      <c r="A117" s="1">
        <f t="shared" si="2"/>
        <v>116</v>
      </c>
      <c r="B117" s="1">
        <v>2023</v>
      </c>
      <c r="C117" s="1">
        <v>2</v>
      </c>
      <c r="D117" s="1" t="s">
        <v>218</v>
      </c>
      <c r="E117" s="1">
        <f>IF(D117="ストーリー", INT((COUNTIF($D$2:D117, "ストーリー")-1)/3) + 1, "NA")</f>
        <v>3</v>
      </c>
      <c r="F117" s="1" t="s">
        <v>266</v>
      </c>
      <c r="G117" s="2" t="s">
        <v>275</v>
      </c>
      <c r="H117" s="1">
        <v>4</v>
      </c>
      <c r="I117" s="1" t="s">
        <v>380</v>
      </c>
      <c r="J117" s="2" t="s">
        <v>325</v>
      </c>
      <c r="K117" s="4" t="s">
        <v>400</v>
      </c>
    </row>
    <row r="118" spans="1:11" ht="63" hidden="1">
      <c r="A118" s="1">
        <f t="shared" si="2"/>
        <v>117</v>
      </c>
      <c r="B118" s="1">
        <v>2023</v>
      </c>
      <c r="C118" s="1">
        <v>2</v>
      </c>
      <c r="D118" s="1" t="s">
        <v>218</v>
      </c>
      <c r="E118" s="1">
        <f>IF(D118="ストーリー", INT((COUNTIF($D$2:D118, "ストーリー")-1)/3) + 1, "NA")</f>
        <v>3</v>
      </c>
      <c r="F118" s="1" t="s">
        <v>267</v>
      </c>
      <c r="G118" s="2" t="s">
        <v>332</v>
      </c>
      <c r="H118" s="1">
        <v>3</v>
      </c>
      <c r="I118" s="1" t="s">
        <v>380</v>
      </c>
      <c r="J118" s="2" t="s">
        <v>325</v>
      </c>
      <c r="K118" s="4" t="s">
        <v>400</v>
      </c>
    </row>
    <row r="119" spans="1:11" ht="63" hidden="1">
      <c r="A119" s="1">
        <f t="shared" si="2"/>
        <v>118</v>
      </c>
      <c r="B119" s="1">
        <v>2023</v>
      </c>
      <c r="C119" s="1" t="s">
        <v>219</v>
      </c>
      <c r="D119" s="1" t="s">
        <v>198</v>
      </c>
      <c r="E119" s="1" t="str">
        <f>IF(D119="ストーリー", INT((COUNTIF($D$2:D119, "ストーリー")-1)/3) + 1, "NA")</f>
        <v>NA</v>
      </c>
      <c r="F119" s="1" t="s">
        <v>212</v>
      </c>
      <c r="G119" s="2" t="s">
        <v>239</v>
      </c>
      <c r="H119" s="1">
        <v>2</v>
      </c>
      <c r="I119" s="1" t="s">
        <v>351</v>
      </c>
      <c r="J119" s="1" t="s">
        <v>527</v>
      </c>
      <c r="K119" s="4" t="s">
        <v>400</v>
      </c>
    </row>
    <row r="120" spans="1:11" ht="63" hidden="1">
      <c r="A120" s="1">
        <f t="shared" si="2"/>
        <v>119</v>
      </c>
      <c r="B120" s="1">
        <v>2023</v>
      </c>
      <c r="C120" s="1" t="s">
        <v>219</v>
      </c>
      <c r="D120" s="1" t="s">
        <v>198</v>
      </c>
      <c r="E120" s="1" t="str">
        <f>IF(D120="ストーリー", INT((COUNTIF($D$2:D120, "ストーリー")-1)/3) + 1, "NA")</f>
        <v>NA</v>
      </c>
      <c r="F120" s="1" t="s">
        <v>212</v>
      </c>
      <c r="G120" s="2" t="s">
        <v>238</v>
      </c>
      <c r="H120" s="1">
        <v>1</v>
      </c>
      <c r="I120" s="1" t="s">
        <v>352</v>
      </c>
      <c r="J120" s="1" t="s">
        <v>528</v>
      </c>
      <c r="K120" s="4" t="s">
        <v>400</v>
      </c>
    </row>
    <row r="121" spans="1:11" ht="63" hidden="1">
      <c r="A121" s="1">
        <f t="shared" si="2"/>
        <v>120</v>
      </c>
      <c r="B121" s="1">
        <v>2023</v>
      </c>
      <c r="C121" s="1" t="s">
        <v>219</v>
      </c>
      <c r="D121" s="1" t="s">
        <v>198</v>
      </c>
      <c r="E121" s="1" t="str">
        <f>IF(D121="ストーリー", INT((COUNTIF($D$2:D121, "ストーリー")-1)/3) + 1, "NA")</f>
        <v>NA</v>
      </c>
      <c r="F121" s="1" t="s">
        <v>212</v>
      </c>
      <c r="G121" s="2" t="s">
        <v>241</v>
      </c>
      <c r="H121" s="1">
        <v>4</v>
      </c>
      <c r="I121" s="1" t="s">
        <v>353</v>
      </c>
      <c r="J121" s="1" t="s">
        <v>529</v>
      </c>
      <c r="K121" s="4" t="s">
        <v>400</v>
      </c>
    </row>
    <row r="122" spans="1:11" ht="63" hidden="1">
      <c r="A122" s="1">
        <f t="shared" si="2"/>
        <v>121</v>
      </c>
      <c r="B122" s="1">
        <v>2023</v>
      </c>
      <c r="C122" s="1" t="s">
        <v>219</v>
      </c>
      <c r="D122" s="1" t="s">
        <v>198</v>
      </c>
      <c r="E122" s="1" t="str">
        <f>IF(D122="ストーリー", INT((COUNTIF($D$2:D122, "ストーリー")-1)/3) + 1, "NA")</f>
        <v>NA</v>
      </c>
      <c r="F122" s="1" t="s">
        <v>212</v>
      </c>
      <c r="G122" s="2" t="s">
        <v>240</v>
      </c>
      <c r="H122" s="1">
        <v>4</v>
      </c>
      <c r="I122" s="1" t="s">
        <v>354</v>
      </c>
      <c r="J122" s="1" t="s">
        <v>530</v>
      </c>
      <c r="K122" s="4" t="s">
        <v>400</v>
      </c>
    </row>
    <row r="123" spans="1:11" ht="78.75" hidden="1">
      <c r="A123" s="1">
        <f t="shared" si="2"/>
        <v>122</v>
      </c>
      <c r="B123" s="1">
        <v>2023</v>
      </c>
      <c r="C123" s="1" t="s">
        <v>219</v>
      </c>
      <c r="D123" s="1" t="s">
        <v>218</v>
      </c>
      <c r="E123" s="1">
        <f>IF(D123="ストーリー", INT((COUNTIF($D$2:D123, "ストーリー")-1)/3) + 1, "NA")</f>
        <v>4</v>
      </c>
      <c r="F123" s="1" t="s">
        <v>276</v>
      </c>
      <c r="G123" s="2" t="s">
        <v>284</v>
      </c>
      <c r="H123" s="1">
        <v>2</v>
      </c>
      <c r="I123" s="1" t="s">
        <v>378</v>
      </c>
      <c r="J123" s="2" t="s">
        <v>326</v>
      </c>
      <c r="K123" s="4" t="s">
        <v>400</v>
      </c>
    </row>
    <row r="124" spans="1:11" ht="78.75" hidden="1">
      <c r="A124" s="1">
        <f t="shared" si="2"/>
        <v>123</v>
      </c>
      <c r="B124" s="1">
        <v>2023</v>
      </c>
      <c r="C124" s="1" t="s">
        <v>219</v>
      </c>
      <c r="D124" s="1" t="s">
        <v>218</v>
      </c>
      <c r="E124" s="1">
        <f>IF(D124="ストーリー", INT((COUNTIF($D$2:D124, "ストーリー")-1)/3) + 1, "NA")</f>
        <v>4</v>
      </c>
      <c r="F124" s="1" t="s">
        <v>277</v>
      </c>
      <c r="G124" s="2" t="s">
        <v>285</v>
      </c>
      <c r="H124" s="1">
        <v>4</v>
      </c>
      <c r="I124" s="1" t="s">
        <v>378</v>
      </c>
      <c r="J124" s="2" t="s">
        <v>326</v>
      </c>
      <c r="K124" s="4" t="s">
        <v>400</v>
      </c>
    </row>
    <row r="125" spans="1:11" ht="78.75" hidden="1">
      <c r="A125" s="1">
        <f t="shared" si="2"/>
        <v>124</v>
      </c>
      <c r="B125" s="1">
        <v>2023</v>
      </c>
      <c r="C125" s="1" t="s">
        <v>219</v>
      </c>
      <c r="D125" s="1" t="s">
        <v>218</v>
      </c>
      <c r="E125" s="1">
        <f>IF(D125="ストーリー", INT((COUNTIF($D$2:D125, "ストーリー")-1)/3) + 1, "NA")</f>
        <v>4</v>
      </c>
      <c r="F125" s="1" t="s">
        <v>278</v>
      </c>
      <c r="G125" s="2" t="s">
        <v>286</v>
      </c>
      <c r="H125" s="1">
        <v>2</v>
      </c>
      <c r="I125" s="1" t="s">
        <v>378</v>
      </c>
      <c r="J125" s="2" t="s">
        <v>326</v>
      </c>
      <c r="K125" s="4" t="s">
        <v>400</v>
      </c>
    </row>
    <row r="126" spans="1:11" ht="78.75" hidden="1">
      <c r="A126" s="1">
        <f t="shared" si="2"/>
        <v>125</v>
      </c>
      <c r="B126" s="1">
        <v>2023</v>
      </c>
      <c r="C126" s="1" t="s">
        <v>219</v>
      </c>
      <c r="D126" s="1" t="s">
        <v>218</v>
      </c>
      <c r="E126" s="1">
        <f>IF(D126="ストーリー", INT((COUNTIF($D$2:D126, "ストーリー")-1)/3) + 1, "NA")</f>
        <v>5</v>
      </c>
      <c r="F126" s="1" t="s">
        <v>279</v>
      </c>
      <c r="G126" s="2" t="s">
        <v>287</v>
      </c>
      <c r="H126" s="1">
        <v>3</v>
      </c>
      <c r="I126" s="1" t="s">
        <v>379</v>
      </c>
      <c r="J126" s="2" t="s">
        <v>327</v>
      </c>
      <c r="K126" s="4" t="s">
        <v>400</v>
      </c>
    </row>
    <row r="127" spans="1:11" ht="78.75" hidden="1">
      <c r="A127" s="1">
        <f t="shared" si="2"/>
        <v>126</v>
      </c>
      <c r="B127" s="1">
        <v>2023</v>
      </c>
      <c r="C127" s="1" t="s">
        <v>219</v>
      </c>
      <c r="D127" s="1" t="s">
        <v>218</v>
      </c>
      <c r="E127" s="1">
        <f>IF(D127="ストーリー", INT((COUNTIF($D$2:D127, "ストーリー")-1)/3) + 1, "NA")</f>
        <v>5</v>
      </c>
      <c r="F127" s="1" t="s">
        <v>280</v>
      </c>
      <c r="G127" s="2" t="s">
        <v>288</v>
      </c>
      <c r="H127" s="1">
        <v>1</v>
      </c>
      <c r="I127" s="1" t="s">
        <v>379</v>
      </c>
      <c r="J127" s="2" t="s">
        <v>327</v>
      </c>
      <c r="K127" s="4" t="s">
        <v>400</v>
      </c>
    </row>
    <row r="128" spans="1:11" ht="78.75" hidden="1">
      <c r="A128" s="1">
        <f t="shared" si="2"/>
        <v>127</v>
      </c>
      <c r="B128" s="1">
        <v>2023</v>
      </c>
      <c r="C128" s="1" t="s">
        <v>219</v>
      </c>
      <c r="D128" s="1" t="s">
        <v>218</v>
      </c>
      <c r="E128" s="1">
        <f>IF(D128="ストーリー", INT((COUNTIF($D$2:D128, "ストーリー")-1)/3) + 1, "NA")</f>
        <v>5</v>
      </c>
      <c r="F128" s="1" t="s">
        <v>281</v>
      </c>
      <c r="G128" s="2" t="s">
        <v>289</v>
      </c>
      <c r="H128" s="1">
        <v>3</v>
      </c>
      <c r="I128" s="1" t="s">
        <v>379</v>
      </c>
      <c r="J128" s="2" t="s">
        <v>327</v>
      </c>
      <c r="K128" s="4" t="s">
        <v>400</v>
      </c>
    </row>
    <row r="129" spans="1:11" ht="63" hidden="1">
      <c r="A129" s="1">
        <f t="shared" si="2"/>
        <v>128</v>
      </c>
      <c r="B129" s="1">
        <v>2023</v>
      </c>
      <c r="C129" s="1" t="s">
        <v>219</v>
      </c>
      <c r="D129" s="1" t="s">
        <v>218</v>
      </c>
      <c r="E129" s="1">
        <f>IF(D129="ストーリー", INT((COUNTIF($D$2:D129, "ストーリー")-1)/3) + 1, "NA")</f>
        <v>6</v>
      </c>
      <c r="F129" s="1" t="s">
        <v>282</v>
      </c>
      <c r="G129" s="2" t="s">
        <v>290</v>
      </c>
      <c r="H129" s="1">
        <v>1</v>
      </c>
      <c r="I129" s="1" t="s">
        <v>386</v>
      </c>
      <c r="J129" s="2" t="s">
        <v>387</v>
      </c>
      <c r="K129" s="4" t="s">
        <v>400</v>
      </c>
    </row>
    <row r="130" spans="1:11" ht="63" hidden="1">
      <c r="A130" s="1">
        <f t="shared" si="2"/>
        <v>129</v>
      </c>
      <c r="B130" s="1">
        <v>2023</v>
      </c>
      <c r="C130" s="1" t="s">
        <v>219</v>
      </c>
      <c r="D130" s="1" t="s">
        <v>218</v>
      </c>
      <c r="E130" s="1">
        <f>IF(D130="ストーリー", INT((COUNTIF($D$2:D130, "ストーリー")-1)/3) + 1, "NA")</f>
        <v>6</v>
      </c>
      <c r="F130" s="1" t="s">
        <v>388</v>
      </c>
      <c r="G130" s="2" t="s">
        <v>389</v>
      </c>
      <c r="H130" s="1">
        <v>2</v>
      </c>
      <c r="I130" s="1" t="s">
        <v>386</v>
      </c>
      <c r="J130" s="2" t="s">
        <v>387</v>
      </c>
      <c r="K130" s="4" t="s">
        <v>400</v>
      </c>
    </row>
    <row r="131" spans="1:11" ht="63" hidden="1">
      <c r="A131" s="1">
        <f t="shared" si="2"/>
        <v>130</v>
      </c>
      <c r="B131" s="1">
        <v>2023</v>
      </c>
      <c r="C131" s="1" t="s">
        <v>219</v>
      </c>
      <c r="D131" s="1" t="s">
        <v>218</v>
      </c>
      <c r="E131" s="1">
        <f>IF(D131="ストーリー", INT((COUNTIF($D$2:D131, "ストーリー")-1)/3) + 1, "NA")</f>
        <v>6</v>
      </c>
      <c r="F131" s="1" t="s">
        <v>283</v>
      </c>
      <c r="G131" s="2" t="s">
        <v>291</v>
      </c>
      <c r="H131" s="1">
        <v>4</v>
      </c>
      <c r="I131" s="1" t="s">
        <v>386</v>
      </c>
      <c r="J131" s="2" t="s">
        <v>387</v>
      </c>
      <c r="K131" s="4" t="s">
        <v>400</v>
      </c>
    </row>
    <row r="132" spans="1:11" ht="110.25" hidden="1">
      <c r="A132" s="1">
        <f t="shared" si="2"/>
        <v>131</v>
      </c>
      <c r="B132" s="1">
        <v>2023</v>
      </c>
      <c r="C132" s="1">
        <v>1</v>
      </c>
      <c r="D132" s="1" t="s">
        <v>218</v>
      </c>
      <c r="E132" s="1">
        <f>IF(D132="ストーリー", INT((COUNTIF($D$2:D132, "ストーリー")-1)/3) + 1, "NA")</f>
        <v>7</v>
      </c>
      <c r="F132" s="1" t="s">
        <v>292</v>
      </c>
      <c r="G132" s="2" t="s">
        <v>300</v>
      </c>
      <c r="H132" s="1">
        <v>2</v>
      </c>
      <c r="I132" s="1" t="s">
        <v>385</v>
      </c>
      <c r="J132" s="2" t="s">
        <v>328</v>
      </c>
      <c r="K132" s="4" t="s">
        <v>400</v>
      </c>
    </row>
    <row r="133" spans="1:11" ht="110.25" hidden="1">
      <c r="A133" s="1">
        <f t="shared" si="2"/>
        <v>132</v>
      </c>
      <c r="B133" s="1">
        <v>2023</v>
      </c>
      <c r="C133" s="1">
        <v>1</v>
      </c>
      <c r="D133" s="1" t="s">
        <v>218</v>
      </c>
      <c r="E133" s="1">
        <f>IF(D133="ストーリー", INT((COUNTIF($D$2:D133, "ストーリー")-1)/3) + 1, "NA")</f>
        <v>7</v>
      </c>
      <c r="F133" s="1" t="s">
        <v>293</v>
      </c>
      <c r="G133" s="2" t="s">
        <v>329</v>
      </c>
      <c r="H133" s="1">
        <v>4</v>
      </c>
      <c r="I133" s="1" t="s">
        <v>385</v>
      </c>
      <c r="J133" s="2" t="s">
        <v>328</v>
      </c>
      <c r="K133" s="4" t="s">
        <v>400</v>
      </c>
    </row>
    <row r="134" spans="1:11" ht="110.25" hidden="1">
      <c r="A134" s="1">
        <f t="shared" si="2"/>
        <v>133</v>
      </c>
      <c r="B134" s="1">
        <v>2023</v>
      </c>
      <c r="C134" s="1">
        <v>1</v>
      </c>
      <c r="D134" s="1" t="s">
        <v>218</v>
      </c>
      <c r="E134" s="1">
        <f>IF(D134="ストーリー", INT((COUNTIF($D$2:D134, "ストーリー")-1)/3) + 1, "NA")</f>
        <v>7</v>
      </c>
      <c r="F134" s="1" t="s">
        <v>294</v>
      </c>
      <c r="G134" s="2" t="s">
        <v>301</v>
      </c>
      <c r="H134" s="1">
        <v>3</v>
      </c>
      <c r="I134" s="1" t="s">
        <v>385</v>
      </c>
      <c r="J134" s="2" t="s">
        <v>328</v>
      </c>
      <c r="K134" s="4" t="s">
        <v>400</v>
      </c>
    </row>
    <row r="135" spans="1:11" ht="126" hidden="1">
      <c r="A135" s="1">
        <f t="shared" si="2"/>
        <v>134</v>
      </c>
      <c r="B135" s="1">
        <v>2023</v>
      </c>
      <c r="C135" s="1">
        <v>1</v>
      </c>
      <c r="D135" s="1" t="s">
        <v>218</v>
      </c>
      <c r="E135" s="1">
        <f>IF(D135="ストーリー", INT((COUNTIF($D$2:D135, "ストーリー")-1)/3) + 1, "NA")</f>
        <v>8</v>
      </c>
      <c r="F135" s="1" t="s">
        <v>295</v>
      </c>
      <c r="G135" s="2" t="s">
        <v>390</v>
      </c>
      <c r="H135" s="1">
        <v>1</v>
      </c>
      <c r="I135" s="1" t="s">
        <v>384</v>
      </c>
      <c r="J135" s="2" t="s">
        <v>330</v>
      </c>
      <c r="K135" s="4" t="s">
        <v>400</v>
      </c>
    </row>
    <row r="136" spans="1:11" ht="126" hidden="1">
      <c r="A136" s="1">
        <f t="shared" si="2"/>
        <v>135</v>
      </c>
      <c r="B136" s="1">
        <v>2023</v>
      </c>
      <c r="C136" s="1">
        <v>1</v>
      </c>
      <c r="D136" s="1" t="s">
        <v>218</v>
      </c>
      <c r="E136" s="1">
        <f>IF(D136="ストーリー", INT((COUNTIF($D$2:D136, "ストーリー")-1)/3) + 1, "NA")</f>
        <v>8</v>
      </c>
      <c r="F136" s="1" t="s">
        <v>296</v>
      </c>
      <c r="G136" s="2" t="s">
        <v>302</v>
      </c>
      <c r="H136" s="1">
        <v>4</v>
      </c>
      <c r="I136" s="1" t="s">
        <v>384</v>
      </c>
      <c r="J136" s="2" t="s">
        <v>330</v>
      </c>
      <c r="K136" s="4" t="s">
        <v>400</v>
      </c>
    </row>
    <row r="137" spans="1:11" ht="126" hidden="1">
      <c r="A137" s="1">
        <f t="shared" si="2"/>
        <v>136</v>
      </c>
      <c r="B137" s="1">
        <v>2023</v>
      </c>
      <c r="C137" s="1">
        <v>1</v>
      </c>
      <c r="D137" s="1" t="s">
        <v>218</v>
      </c>
      <c r="E137" s="1">
        <f>IF(D137="ストーリー", INT((COUNTIF($D$2:D137, "ストーリー")-1)/3) + 1, "NA")</f>
        <v>8</v>
      </c>
      <c r="F137" s="1" t="s">
        <v>297</v>
      </c>
      <c r="G137" s="2" t="s">
        <v>398</v>
      </c>
      <c r="H137" s="1">
        <v>3</v>
      </c>
      <c r="I137" s="1" t="s">
        <v>384</v>
      </c>
      <c r="J137" s="2" t="s">
        <v>330</v>
      </c>
      <c r="K137" s="4" t="s">
        <v>400</v>
      </c>
    </row>
    <row r="138" spans="1:11" ht="94.5" hidden="1">
      <c r="A138" s="1">
        <f t="shared" si="2"/>
        <v>137</v>
      </c>
      <c r="B138" s="1">
        <v>2023</v>
      </c>
      <c r="C138" s="1">
        <v>1</v>
      </c>
      <c r="D138" s="1" t="s">
        <v>218</v>
      </c>
      <c r="E138" s="1">
        <f>IF(D138="ストーリー", INT((COUNTIF($D$2:D138, "ストーリー")-1)/3) + 1, "NA")</f>
        <v>9</v>
      </c>
      <c r="F138" s="1" t="s">
        <v>298</v>
      </c>
      <c r="G138" s="2" t="s">
        <v>303</v>
      </c>
      <c r="H138" s="1">
        <v>3</v>
      </c>
      <c r="I138" s="1" t="s">
        <v>383</v>
      </c>
      <c r="J138" s="2" t="s">
        <v>331</v>
      </c>
      <c r="K138" s="4" t="s">
        <v>400</v>
      </c>
    </row>
    <row r="139" spans="1:11" ht="94.5" hidden="1">
      <c r="A139" s="1">
        <f t="shared" si="2"/>
        <v>138</v>
      </c>
      <c r="B139" s="1">
        <v>2023</v>
      </c>
      <c r="C139" s="1">
        <v>1</v>
      </c>
      <c r="D139" s="1" t="s">
        <v>218</v>
      </c>
      <c r="E139" s="1">
        <f>IF(D139="ストーリー", INT((COUNTIF($D$2:D139, "ストーリー")-1)/3) + 1, "NA")</f>
        <v>9</v>
      </c>
      <c r="F139" s="1" t="s">
        <v>299</v>
      </c>
      <c r="G139" s="2" t="s">
        <v>304</v>
      </c>
      <c r="H139" s="1">
        <v>2</v>
      </c>
      <c r="I139" s="1" t="s">
        <v>383</v>
      </c>
      <c r="J139" s="2" t="s">
        <v>331</v>
      </c>
      <c r="K139" s="4" t="s">
        <v>400</v>
      </c>
    </row>
    <row r="140" spans="1:11" ht="94.5" hidden="1">
      <c r="A140" s="1">
        <f t="shared" ref="A140:A317" si="3">ROW()-1</f>
        <v>139</v>
      </c>
      <c r="B140" s="1">
        <v>2023</v>
      </c>
      <c r="C140" s="1">
        <v>1</v>
      </c>
      <c r="D140" s="1" t="s">
        <v>218</v>
      </c>
      <c r="E140" s="1">
        <f>IF(D140="ストーリー", INT((COUNTIF($D$2:D140, "ストーリー")-1)/3) + 1, "NA")</f>
        <v>9</v>
      </c>
      <c r="F140" s="1" t="s">
        <v>305</v>
      </c>
      <c r="G140" s="2" t="s">
        <v>306</v>
      </c>
      <c r="H140" s="1">
        <v>3</v>
      </c>
      <c r="I140" s="1" t="s">
        <v>383</v>
      </c>
      <c r="J140" s="2" t="s">
        <v>331</v>
      </c>
      <c r="K140" s="4" t="s">
        <v>400</v>
      </c>
    </row>
    <row r="141" spans="1:11" ht="63">
      <c r="A141" s="1">
        <f t="shared" si="3"/>
        <v>140</v>
      </c>
      <c r="B141" s="1">
        <v>2025</v>
      </c>
      <c r="C141" s="1">
        <v>5</v>
      </c>
      <c r="D141" s="1" t="s">
        <v>198</v>
      </c>
      <c r="E141" s="1" t="str">
        <f>IF(D141="ストーリー", INT((COUNTIF($D$2:D141, "ストーリー")-1)/3) + 1, "NA")</f>
        <v>NA</v>
      </c>
      <c r="F141" s="1" t="s">
        <v>446</v>
      </c>
      <c r="G141" s="8" t="s">
        <v>447</v>
      </c>
      <c r="H141" s="1">
        <v>1</v>
      </c>
      <c r="I141" s="1" t="s">
        <v>848</v>
      </c>
      <c r="J141" s="2" t="s">
        <v>851</v>
      </c>
      <c r="K141" s="1"/>
    </row>
    <row r="142" spans="1:11" ht="63">
      <c r="A142" s="1">
        <f t="shared" si="3"/>
        <v>141</v>
      </c>
      <c r="B142" s="1">
        <v>2025</v>
      </c>
      <c r="C142" s="1">
        <v>5</v>
      </c>
      <c r="D142" s="1" t="s">
        <v>198</v>
      </c>
      <c r="E142" s="1" t="str">
        <f>IF(D142="ストーリー", INT((COUNTIF($D$2:D142, "ストーリー")-1)/3) + 1, "NA")</f>
        <v>NA</v>
      </c>
      <c r="F142" s="1" t="s">
        <v>446</v>
      </c>
      <c r="G142" s="8" t="s">
        <v>448</v>
      </c>
      <c r="H142" s="1">
        <v>2</v>
      </c>
      <c r="I142" s="1" t="s">
        <v>850</v>
      </c>
      <c r="J142" s="2" t="s">
        <v>849</v>
      </c>
      <c r="K142" s="1"/>
    </row>
    <row r="143" spans="1:11" ht="63">
      <c r="A143" s="1">
        <f t="shared" si="3"/>
        <v>142</v>
      </c>
      <c r="B143" s="1">
        <v>2025</v>
      </c>
      <c r="C143" s="1">
        <v>5</v>
      </c>
      <c r="D143" s="1" t="s">
        <v>198</v>
      </c>
      <c r="E143" s="1" t="str">
        <f>IF(D143="ストーリー", INT((COUNTIF($D$2:D143, "ストーリー")-1)/3) + 1, "NA")</f>
        <v>NA</v>
      </c>
      <c r="F143" s="1" t="s">
        <v>446</v>
      </c>
      <c r="G143" s="8" t="s">
        <v>449</v>
      </c>
      <c r="H143" s="1">
        <v>4</v>
      </c>
      <c r="I143" s="1" t="s">
        <v>847</v>
      </c>
      <c r="J143" s="2" t="s">
        <v>852</v>
      </c>
      <c r="K143" s="1"/>
    </row>
    <row r="144" spans="1:11" ht="63">
      <c r="A144" s="1">
        <f t="shared" si="3"/>
        <v>143</v>
      </c>
      <c r="B144" s="1">
        <v>2025</v>
      </c>
      <c r="C144" s="1">
        <v>5</v>
      </c>
      <c r="D144" s="1" t="s">
        <v>198</v>
      </c>
      <c r="E144" s="1" t="str">
        <f>IF(D144="ストーリー", INT((COUNTIF($D$2:D144, "ストーリー")-1)/3) + 1, "NA")</f>
        <v>NA</v>
      </c>
      <c r="F144" s="1" t="s">
        <v>446</v>
      </c>
      <c r="G144" s="8" t="s">
        <v>450</v>
      </c>
      <c r="H144" s="1">
        <v>3</v>
      </c>
      <c r="I144" s="9" t="s">
        <v>859</v>
      </c>
      <c r="J144" s="2" t="s">
        <v>856</v>
      </c>
      <c r="K144" s="1"/>
    </row>
    <row r="145" spans="1:11" ht="63">
      <c r="A145" s="1">
        <f t="shared" si="3"/>
        <v>144</v>
      </c>
      <c r="B145" s="1">
        <v>2025</v>
      </c>
      <c r="C145" s="1">
        <v>5</v>
      </c>
      <c r="D145" s="1" t="s">
        <v>198</v>
      </c>
      <c r="E145" s="1" t="str">
        <f>IF(D145="ストーリー", INT((COUNTIF($D$2:D145, "ストーリー")-1)/3) + 1, "NA")</f>
        <v>NA</v>
      </c>
      <c r="F145" s="1" t="s">
        <v>446</v>
      </c>
      <c r="G145" s="8" t="s">
        <v>451</v>
      </c>
      <c r="H145" s="1">
        <v>4</v>
      </c>
      <c r="I145" s="9" t="s">
        <v>858</v>
      </c>
      <c r="J145" s="2" t="s">
        <v>857</v>
      </c>
      <c r="K145" s="1"/>
    </row>
    <row r="146" spans="1:11" ht="63">
      <c r="A146" s="1">
        <f t="shared" si="3"/>
        <v>145</v>
      </c>
      <c r="B146" s="1">
        <v>2025</v>
      </c>
      <c r="C146" s="1">
        <v>5</v>
      </c>
      <c r="D146" s="1" t="s">
        <v>198</v>
      </c>
      <c r="E146" s="1" t="str">
        <f>IF(D146="ストーリー", INT((COUNTIF($D$2:D146, "ストーリー")-1)/3) + 1, "NA")</f>
        <v>NA</v>
      </c>
      <c r="F146" s="1" t="s">
        <v>446</v>
      </c>
      <c r="G146" s="8" t="s">
        <v>452</v>
      </c>
      <c r="H146" s="1">
        <v>2</v>
      </c>
      <c r="I146" s="9" t="s">
        <v>861</v>
      </c>
      <c r="J146" s="2" t="s">
        <v>860</v>
      </c>
      <c r="K146" s="1"/>
    </row>
    <row r="147" spans="1:11" ht="63">
      <c r="A147" s="1">
        <f t="shared" si="3"/>
        <v>146</v>
      </c>
      <c r="B147" s="1">
        <v>2025</v>
      </c>
      <c r="C147" s="1">
        <v>5</v>
      </c>
      <c r="D147" s="1" t="s">
        <v>198</v>
      </c>
      <c r="E147" s="1" t="str">
        <f>IF(D147="ストーリー", INT((COUNTIF($D$2:D147, "ストーリー")-1)/3) + 1, "NA")</f>
        <v>NA</v>
      </c>
      <c r="F147" s="1" t="s">
        <v>446</v>
      </c>
      <c r="G147" s="8" t="s">
        <v>453</v>
      </c>
      <c r="H147" s="1">
        <v>2</v>
      </c>
      <c r="I147" s="9" t="s">
        <v>863</v>
      </c>
      <c r="J147" s="2" t="s">
        <v>955</v>
      </c>
      <c r="K147" s="1"/>
    </row>
    <row r="148" spans="1:11" ht="63">
      <c r="A148" s="1">
        <f t="shared" si="3"/>
        <v>147</v>
      </c>
      <c r="B148" s="1">
        <v>2025</v>
      </c>
      <c r="C148" s="1">
        <v>5</v>
      </c>
      <c r="D148" s="1" t="s">
        <v>198</v>
      </c>
      <c r="E148" s="1" t="str">
        <f>IF(D148="ストーリー", INT((COUNTIF($D$2:D148, "ストーリー")-1)/3) + 1, "NA")</f>
        <v>NA</v>
      </c>
      <c r="F148" s="1" t="s">
        <v>446</v>
      </c>
      <c r="G148" s="8" t="s">
        <v>864</v>
      </c>
      <c r="H148" s="1">
        <v>3</v>
      </c>
      <c r="I148" s="9" t="s">
        <v>865</v>
      </c>
      <c r="J148" s="2" t="s">
        <v>866</v>
      </c>
      <c r="K148" s="1"/>
    </row>
    <row r="149" spans="1:11" ht="63">
      <c r="A149" s="1">
        <f t="shared" si="3"/>
        <v>148</v>
      </c>
      <c r="B149" s="1">
        <v>2025</v>
      </c>
      <c r="C149" s="1">
        <v>5</v>
      </c>
      <c r="D149" s="1" t="s">
        <v>198</v>
      </c>
      <c r="E149" s="1" t="str">
        <f>IF(D149="ストーリー", INT((COUNTIF($D$2:D149, "ストーリー")-1)/3) + 1, "NA")</f>
        <v>NA</v>
      </c>
      <c r="F149" s="1" t="s">
        <v>446</v>
      </c>
      <c r="G149" s="8" t="s">
        <v>473</v>
      </c>
      <c r="H149" s="1">
        <v>2</v>
      </c>
      <c r="I149" s="9" t="s">
        <v>868</v>
      </c>
      <c r="J149" s="2" t="s">
        <v>867</v>
      </c>
      <c r="K149" s="1"/>
    </row>
    <row r="150" spans="1:11" ht="63">
      <c r="A150" s="1">
        <f t="shared" si="3"/>
        <v>149</v>
      </c>
      <c r="B150" s="1">
        <v>2025</v>
      </c>
      <c r="C150" s="1">
        <v>5</v>
      </c>
      <c r="D150" s="1" t="s">
        <v>198</v>
      </c>
      <c r="E150" s="1" t="str">
        <f>IF(D150="ストーリー", INT((COUNTIF($D$2:D150, "ストーリー")-1)/3) + 1, "NA")</f>
        <v>NA</v>
      </c>
      <c r="F150" s="1" t="s">
        <v>446</v>
      </c>
      <c r="G150" s="8" t="s">
        <v>454</v>
      </c>
      <c r="H150" s="1">
        <v>2</v>
      </c>
      <c r="I150" s="9" t="s">
        <v>869</v>
      </c>
      <c r="J150" s="2" t="s">
        <v>870</v>
      </c>
      <c r="K150" s="1"/>
    </row>
    <row r="151" spans="1:11" ht="63">
      <c r="A151" s="1">
        <f t="shared" si="3"/>
        <v>150</v>
      </c>
      <c r="B151" s="1">
        <v>2025</v>
      </c>
      <c r="C151" s="1">
        <v>5</v>
      </c>
      <c r="D151" s="1" t="s">
        <v>198</v>
      </c>
      <c r="E151" s="1" t="str">
        <f>IF(D151="ストーリー", INT((COUNTIF($D$2:D151, "ストーリー")-1)/3) + 1, "NA")</f>
        <v>NA</v>
      </c>
      <c r="F151" s="1" t="s">
        <v>446</v>
      </c>
      <c r="G151" s="8" t="s">
        <v>455</v>
      </c>
      <c r="H151" s="1">
        <v>1</v>
      </c>
      <c r="I151" s="9" t="s">
        <v>872</v>
      </c>
      <c r="J151" s="2" t="s">
        <v>871</v>
      </c>
      <c r="K151" s="1"/>
    </row>
    <row r="152" spans="1:11" ht="63">
      <c r="A152" s="1">
        <f t="shared" si="3"/>
        <v>151</v>
      </c>
      <c r="B152" s="1">
        <v>2025</v>
      </c>
      <c r="C152" s="1">
        <v>5</v>
      </c>
      <c r="D152" s="1" t="s">
        <v>198</v>
      </c>
      <c r="E152" s="1" t="str">
        <f>IF(D152="ストーリー", INT((COUNTIF($D$2:D152, "ストーリー")-1)/3) + 1, "NA")</f>
        <v>NA</v>
      </c>
      <c r="F152" s="1" t="s">
        <v>446</v>
      </c>
      <c r="G152" s="8" t="s">
        <v>456</v>
      </c>
      <c r="H152" s="1">
        <v>2</v>
      </c>
      <c r="I152" s="9" t="s">
        <v>873</v>
      </c>
      <c r="J152" s="2" t="s">
        <v>874</v>
      </c>
      <c r="K152" s="1"/>
    </row>
    <row r="153" spans="1:11" ht="63">
      <c r="A153" s="1">
        <f t="shared" si="3"/>
        <v>152</v>
      </c>
      <c r="B153" s="1">
        <v>2025</v>
      </c>
      <c r="C153" s="1">
        <v>5</v>
      </c>
      <c r="D153" s="1" t="s">
        <v>198</v>
      </c>
      <c r="E153" s="1" t="str">
        <f>IF(D153="ストーリー", INT((COUNTIF($D$2:D153, "ストーリー")-1)/3) + 1, "NA")</f>
        <v>NA</v>
      </c>
      <c r="F153" s="1" t="s">
        <v>446</v>
      </c>
      <c r="G153" s="8" t="s">
        <v>457</v>
      </c>
      <c r="H153" s="1">
        <v>2</v>
      </c>
      <c r="I153" s="9" t="s">
        <v>875</v>
      </c>
      <c r="J153" s="2" t="s">
        <v>876</v>
      </c>
      <c r="K153" s="1"/>
    </row>
    <row r="154" spans="1:11" ht="63">
      <c r="A154" s="1">
        <f t="shared" si="3"/>
        <v>153</v>
      </c>
      <c r="B154" s="1">
        <v>2025</v>
      </c>
      <c r="C154" s="1">
        <v>5</v>
      </c>
      <c r="D154" s="1" t="s">
        <v>198</v>
      </c>
      <c r="E154" s="1" t="str">
        <f>IF(D154="ストーリー", INT((COUNTIF($D$2:D154, "ストーリー")-1)/3) + 1, "NA")</f>
        <v>NA</v>
      </c>
      <c r="F154" s="1" t="s">
        <v>446</v>
      </c>
      <c r="G154" s="8" t="s">
        <v>458</v>
      </c>
      <c r="H154" s="1">
        <v>2</v>
      </c>
      <c r="I154" s="9" t="s">
        <v>877</v>
      </c>
      <c r="J154" s="2" t="s">
        <v>878</v>
      </c>
      <c r="K154" s="1"/>
    </row>
    <row r="155" spans="1:11" ht="63">
      <c r="A155" s="1">
        <f t="shared" si="3"/>
        <v>154</v>
      </c>
      <c r="B155" s="1">
        <v>2025</v>
      </c>
      <c r="C155" s="1">
        <v>5</v>
      </c>
      <c r="D155" s="1" t="s">
        <v>198</v>
      </c>
      <c r="E155" s="1" t="str">
        <f>IF(D155="ストーリー", INT((COUNTIF($D$2:D155, "ストーリー")-1)/3) + 1, "NA")</f>
        <v>NA</v>
      </c>
      <c r="F155" s="1" t="s">
        <v>446</v>
      </c>
      <c r="G155" s="8" t="s">
        <v>459</v>
      </c>
      <c r="H155" s="1">
        <v>1</v>
      </c>
      <c r="I155" s="9" t="s">
        <v>879</v>
      </c>
      <c r="J155" s="2" t="s">
        <v>884</v>
      </c>
      <c r="K155" s="1"/>
    </row>
    <row r="156" spans="1:11" ht="63">
      <c r="A156" s="1">
        <f t="shared" si="3"/>
        <v>155</v>
      </c>
      <c r="B156" s="1">
        <v>2025</v>
      </c>
      <c r="C156" s="1">
        <v>5</v>
      </c>
      <c r="D156" s="1" t="s">
        <v>198</v>
      </c>
      <c r="E156" s="1" t="str">
        <f>IF(D156="ストーリー", INT((COUNTIF($D$2:D156, "ストーリー")-1)/3) + 1, "NA")</f>
        <v>NA</v>
      </c>
      <c r="F156" s="1" t="s">
        <v>446</v>
      </c>
      <c r="G156" s="8" t="s">
        <v>460</v>
      </c>
      <c r="H156" s="1">
        <v>2</v>
      </c>
      <c r="I156" s="9" t="s">
        <v>880</v>
      </c>
      <c r="J156" s="2" t="s">
        <v>885</v>
      </c>
      <c r="K156" s="1"/>
    </row>
    <row r="157" spans="1:11" ht="63">
      <c r="A157" s="1">
        <f t="shared" si="3"/>
        <v>156</v>
      </c>
      <c r="B157" s="1">
        <v>2025</v>
      </c>
      <c r="C157" s="1">
        <v>5</v>
      </c>
      <c r="D157" s="1" t="s">
        <v>198</v>
      </c>
      <c r="E157" s="1" t="str">
        <f>IF(D157="ストーリー", INT((COUNTIF($D$2:D157, "ストーリー")-1)/3) + 1, "NA")</f>
        <v>NA</v>
      </c>
      <c r="F157" s="1" t="s">
        <v>446</v>
      </c>
      <c r="G157" s="8" t="s">
        <v>881</v>
      </c>
      <c r="H157" s="1">
        <v>2</v>
      </c>
      <c r="I157" s="9" t="s">
        <v>883</v>
      </c>
      <c r="J157" s="2" t="s">
        <v>882</v>
      </c>
      <c r="K157" s="1"/>
    </row>
    <row r="158" spans="1:11" ht="63">
      <c r="A158" s="1">
        <f t="shared" si="3"/>
        <v>157</v>
      </c>
      <c r="B158" s="1">
        <v>2025</v>
      </c>
      <c r="C158" s="1">
        <v>5</v>
      </c>
      <c r="D158" s="1" t="s">
        <v>198</v>
      </c>
      <c r="E158" s="1" t="str">
        <f>IF(D158="ストーリー", INT((COUNTIF($D$2:D158, "ストーリー")-1)/3) + 1, "NA")</f>
        <v>NA</v>
      </c>
      <c r="F158" s="1" t="s">
        <v>446</v>
      </c>
      <c r="G158" s="8" t="s">
        <v>461</v>
      </c>
      <c r="H158" s="1">
        <v>1</v>
      </c>
      <c r="I158" s="9" t="s">
        <v>886</v>
      </c>
      <c r="J158" s="2" t="s">
        <v>887</v>
      </c>
      <c r="K158" s="1"/>
    </row>
    <row r="159" spans="1:11" ht="63">
      <c r="A159" s="1">
        <f t="shared" si="3"/>
        <v>158</v>
      </c>
      <c r="B159" s="1">
        <v>2025</v>
      </c>
      <c r="C159" s="1">
        <v>5</v>
      </c>
      <c r="D159" s="1" t="s">
        <v>198</v>
      </c>
      <c r="E159" s="1" t="str">
        <f>IF(D159="ストーリー", INT((COUNTIF($D$2:D159, "ストーリー")-1)/3) + 1, "NA")</f>
        <v>NA</v>
      </c>
      <c r="F159" s="1" t="s">
        <v>446</v>
      </c>
      <c r="G159" s="8" t="s">
        <v>462</v>
      </c>
      <c r="H159" s="1">
        <v>2</v>
      </c>
      <c r="I159" s="9" t="s">
        <v>888</v>
      </c>
      <c r="J159" s="2" t="s">
        <v>889</v>
      </c>
      <c r="K159" s="1"/>
    </row>
    <row r="160" spans="1:11" ht="63">
      <c r="A160" s="1">
        <f t="shared" si="3"/>
        <v>159</v>
      </c>
      <c r="B160" s="1">
        <v>2025</v>
      </c>
      <c r="C160" s="1">
        <v>5</v>
      </c>
      <c r="D160" s="1" t="s">
        <v>198</v>
      </c>
      <c r="E160" s="1" t="str">
        <f>IF(D160="ストーリー", INT((COUNTIF($D$2:D160, "ストーリー")-1)/3) + 1, "NA")</f>
        <v>NA</v>
      </c>
      <c r="F160" s="1" t="s">
        <v>446</v>
      </c>
      <c r="G160" s="8" t="s">
        <v>463</v>
      </c>
      <c r="H160" s="1">
        <v>3</v>
      </c>
      <c r="I160" s="9" t="s">
        <v>891</v>
      </c>
      <c r="J160" s="2" t="s">
        <v>890</v>
      </c>
      <c r="K160" s="1"/>
    </row>
    <row r="161" spans="1:11" ht="63">
      <c r="A161" s="1">
        <f t="shared" si="3"/>
        <v>160</v>
      </c>
      <c r="B161" s="1">
        <v>2025</v>
      </c>
      <c r="C161" s="1">
        <v>5</v>
      </c>
      <c r="D161" s="1" t="s">
        <v>198</v>
      </c>
      <c r="E161" s="1" t="str">
        <f>IF(D161="ストーリー", INT((COUNTIF($D$2:D161, "ストーリー")-1)/3) + 1, "NA")</f>
        <v>NA</v>
      </c>
      <c r="F161" s="1" t="s">
        <v>446</v>
      </c>
      <c r="G161" s="8" t="s">
        <v>474</v>
      </c>
      <c r="H161" s="1">
        <v>1</v>
      </c>
      <c r="I161" s="9" t="s">
        <v>892</v>
      </c>
      <c r="J161" s="2" t="s">
        <v>893</v>
      </c>
      <c r="K161" s="1"/>
    </row>
    <row r="162" spans="1:11" ht="63">
      <c r="A162" s="1">
        <f t="shared" si="3"/>
        <v>161</v>
      </c>
      <c r="B162" s="1">
        <v>2025</v>
      </c>
      <c r="C162" s="1">
        <v>5</v>
      </c>
      <c r="D162" s="1" t="s">
        <v>198</v>
      </c>
      <c r="E162" s="1" t="str">
        <f>IF(D162="ストーリー", INT((COUNTIF($D$2:D162, "ストーリー")-1)/3) + 1, "NA")</f>
        <v>NA</v>
      </c>
      <c r="F162" s="1" t="s">
        <v>446</v>
      </c>
      <c r="G162" s="8" t="s">
        <v>464</v>
      </c>
      <c r="H162" s="1">
        <v>1</v>
      </c>
      <c r="I162" s="9" t="s">
        <v>894</v>
      </c>
      <c r="J162" s="2" t="s">
        <v>895</v>
      </c>
      <c r="K162" s="1"/>
    </row>
    <row r="163" spans="1:11" ht="63">
      <c r="A163" s="1">
        <f t="shared" si="3"/>
        <v>162</v>
      </c>
      <c r="B163" s="1">
        <v>2025</v>
      </c>
      <c r="C163" s="1">
        <v>5</v>
      </c>
      <c r="D163" s="1" t="s">
        <v>198</v>
      </c>
      <c r="E163" s="1" t="str">
        <f>IF(D163="ストーリー", INT((COUNTIF($D$2:D163, "ストーリー")-1)/3) + 1, "NA")</f>
        <v>NA</v>
      </c>
      <c r="F163" s="1" t="s">
        <v>446</v>
      </c>
      <c r="G163" s="8" t="s">
        <v>465</v>
      </c>
      <c r="H163" s="1">
        <v>1</v>
      </c>
      <c r="I163" s="9" t="s">
        <v>896</v>
      </c>
      <c r="J163" s="2" t="s">
        <v>897</v>
      </c>
      <c r="K163" s="1"/>
    </row>
    <row r="164" spans="1:11" ht="63">
      <c r="A164" s="1">
        <f t="shared" si="3"/>
        <v>163</v>
      </c>
      <c r="B164" s="1">
        <v>2025</v>
      </c>
      <c r="C164" s="1">
        <v>5</v>
      </c>
      <c r="D164" s="1" t="s">
        <v>198</v>
      </c>
      <c r="E164" s="1" t="str">
        <f>IF(D164="ストーリー", INT((COUNTIF($D$2:D164, "ストーリー")-1)/3) + 1, "NA")</f>
        <v>NA</v>
      </c>
      <c r="F164" s="1" t="s">
        <v>446</v>
      </c>
      <c r="G164" s="8" t="s">
        <v>466</v>
      </c>
      <c r="H164" s="1">
        <v>1</v>
      </c>
      <c r="I164" s="9" t="s">
        <v>899</v>
      </c>
      <c r="J164" s="2" t="s">
        <v>898</v>
      </c>
      <c r="K164" s="1"/>
    </row>
    <row r="165" spans="1:11" ht="63">
      <c r="A165" s="1">
        <f t="shared" si="3"/>
        <v>164</v>
      </c>
      <c r="B165" s="1">
        <v>2025</v>
      </c>
      <c r="C165" s="1">
        <v>5</v>
      </c>
      <c r="D165" s="1" t="s">
        <v>198</v>
      </c>
      <c r="E165" s="1" t="str">
        <f>IF(D165="ストーリー", INT((COUNTIF($D$2:D165, "ストーリー")-1)/3) + 1, "NA")</f>
        <v>NA</v>
      </c>
      <c r="F165" s="1" t="s">
        <v>446</v>
      </c>
      <c r="G165" s="8" t="s">
        <v>467</v>
      </c>
      <c r="H165" s="1">
        <v>1</v>
      </c>
      <c r="I165" s="9" t="s">
        <v>901</v>
      </c>
      <c r="J165" s="2" t="s">
        <v>900</v>
      </c>
      <c r="K165" s="1"/>
    </row>
    <row r="166" spans="1:11" ht="63">
      <c r="A166" s="1">
        <f t="shared" si="3"/>
        <v>165</v>
      </c>
      <c r="B166" s="1">
        <v>2025</v>
      </c>
      <c r="C166" s="1">
        <v>5</v>
      </c>
      <c r="D166" s="1" t="s">
        <v>198</v>
      </c>
      <c r="E166" s="1" t="str">
        <f>IF(D166="ストーリー", INT((COUNTIF($D$2:D166, "ストーリー")-1)/3) + 1, "NA")</f>
        <v>NA</v>
      </c>
      <c r="F166" s="1" t="s">
        <v>446</v>
      </c>
      <c r="G166" s="8" t="s">
        <v>468</v>
      </c>
      <c r="H166" s="1">
        <v>2</v>
      </c>
      <c r="I166" s="9" t="s">
        <v>903</v>
      </c>
      <c r="J166" s="2" t="s">
        <v>902</v>
      </c>
      <c r="K166" s="1"/>
    </row>
    <row r="167" spans="1:11" ht="63">
      <c r="A167" s="1">
        <f t="shared" si="3"/>
        <v>166</v>
      </c>
      <c r="B167" s="1">
        <v>2025</v>
      </c>
      <c r="C167" s="1">
        <v>5</v>
      </c>
      <c r="D167" s="1" t="s">
        <v>198</v>
      </c>
      <c r="E167" s="1" t="str">
        <f>IF(D167="ストーリー", INT((COUNTIF($D$2:D167, "ストーリー")-1)/3) + 1, "NA")</f>
        <v>NA</v>
      </c>
      <c r="F167" s="1" t="s">
        <v>446</v>
      </c>
      <c r="G167" s="8" t="s">
        <v>469</v>
      </c>
      <c r="H167" s="1">
        <v>1</v>
      </c>
      <c r="I167" s="9" t="s">
        <v>904</v>
      </c>
      <c r="J167" s="2" t="s">
        <v>905</v>
      </c>
      <c r="K167" s="1"/>
    </row>
    <row r="168" spans="1:11" ht="63">
      <c r="A168" s="1">
        <f t="shared" si="3"/>
        <v>167</v>
      </c>
      <c r="B168" s="1">
        <v>2025</v>
      </c>
      <c r="C168" s="1">
        <v>5</v>
      </c>
      <c r="D168" s="1" t="s">
        <v>198</v>
      </c>
      <c r="E168" s="1" t="str">
        <f>IF(D168="ストーリー", INT((COUNTIF($D$2:D168, "ストーリー")-1)/3) + 1, "NA")</f>
        <v>NA</v>
      </c>
      <c r="F168" s="1" t="s">
        <v>446</v>
      </c>
      <c r="G168" s="8" t="s">
        <v>470</v>
      </c>
      <c r="H168" s="1">
        <v>2</v>
      </c>
      <c r="I168" s="9" t="s">
        <v>906</v>
      </c>
      <c r="J168" s="2" t="s">
        <v>907</v>
      </c>
      <c r="K168" s="1"/>
    </row>
    <row r="169" spans="1:11" ht="63">
      <c r="A169" s="1">
        <f t="shared" si="3"/>
        <v>168</v>
      </c>
      <c r="B169" s="1">
        <v>2025</v>
      </c>
      <c r="C169" s="1">
        <v>5</v>
      </c>
      <c r="D169" s="1" t="s">
        <v>198</v>
      </c>
      <c r="E169" s="1" t="str">
        <f>IF(D169="ストーリー", INT((COUNTIF($D$2:D169, "ストーリー")-1)/3) + 1, "NA")</f>
        <v>NA</v>
      </c>
      <c r="F169" s="1" t="s">
        <v>446</v>
      </c>
      <c r="G169" s="8" t="s">
        <v>471</v>
      </c>
      <c r="H169" s="1">
        <v>1</v>
      </c>
      <c r="I169" s="9" t="s">
        <v>909</v>
      </c>
      <c r="J169" s="2" t="s">
        <v>908</v>
      </c>
      <c r="K169" s="1"/>
    </row>
    <row r="170" spans="1:11" ht="63">
      <c r="A170" s="1">
        <f t="shared" si="3"/>
        <v>169</v>
      </c>
      <c r="B170" s="1">
        <v>2025</v>
      </c>
      <c r="C170" s="1">
        <v>5</v>
      </c>
      <c r="D170" s="1" t="s">
        <v>198</v>
      </c>
      <c r="E170" s="1" t="str">
        <f>IF(D170="ストーリー", INT((COUNTIF($D$2:D170, "ストーリー")-1)/3) + 1, "NA")</f>
        <v>NA</v>
      </c>
      <c r="F170" s="1" t="s">
        <v>446</v>
      </c>
      <c r="G170" s="8" t="s">
        <v>472</v>
      </c>
      <c r="H170" s="1">
        <v>1</v>
      </c>
      <c r="I170" s="9" t="s">
        <v>910</v>
      </c>
      <c r="J170" s="2" t="s">
        <v>911</v>
      </c>
      <c r="K170" s="1"/>
    </row>
    <row r="171" spans="1:11" ht="63">
      <c r="A171" s="1">
        <f t="shared" si="3"/>
        <v>170</v>
      </c>
      <c r="B171" s="1">
        <v>2025</v>
      </c>
      <c r="C171" s="1">
        <v>4</v>
      </c>
      <c r="D171" s="1" t="s">
        <v>198</v>
      </c>
      <c r="E171" s="1" t="str">
        <f>IF(D171="ストーリー", INT((COUNTIF($D$2:D171, "ストーリー")-1)/3) + 1, "NA")</f>
        <v>NA</v>
      </c>
      <c r="F171" s="1" t="s">
        <v>446</v>
      </c>
      <c r="G171" s="8" t="s">
        <v>531</v>
      </c>
      <c r="H171" s="1">
        <v>3</v>
      </c>
      <c r="I171" s="9" t="s">
        <v>912</v>
      </c>
      <c r="J171" s="2" t="s">
        <v>913</v>
      </c>
      <c r="K171" s="1"/>
    </row>
    <row r="172" spans="1:11" ht="63">
      <c r="A172" s="1">
        <f t="shared" si="3"/>
        <v>171</v>
      </c>
      <c r="B172" s="1">
        <v>2025</v>
      </c>
      <c r="C172" s="1">
        <v>4</v>
      </c>
      <c r="D172" s="1" t="s">
        <v>198</v>
      </c>
      <c r="E172" s="1" t="str">
        <f>IF(D172="ストーリー", INT((COUNTIF($D$2:D172, "ストーリー")-1)/3) + 1, "NA")</f>
        <v>NA</v>
      </c>
      <c r="F172" s="1" t="s">
        <v>446</v>
      </c>
      <c r="G172" s="8" t="s">
        <v>532</v>
      </c>
      <c r="H172" s="1">
        <v>4</v>
      </c>
      <c r="I172" s="9" t="s">
        <v>915</v>
      </c>
      <c r="J172" s="2" t="s">
        <v>914</v>
      </c>
      <c r="K172" s="1"/>
    </row>
    <row r="173" spans="1:11" ht="63">
      <c r="A173" s="1">
        <f t="shared" si="3"/>
        <v>172</v>
      </c>
      <c r="B173" s="1">
        <v>2025</v>
      </c>
      <c r="C173" s="1">
        <v>4</v>
      </c>
      <c r="D173" s="1" t="s">
        <v>198</v>
      </c>
      <c r="E173" s="1" t="str">
        <f>IF(D173="ストーリー", INT((COUNTIF($D$2:D173, "ストーリー")-1)/3) + 1, "NA")</f>
        <v>NA</v>
      </c>
      <c r="F173" s="1" t="s">
        <v>446</v>
      </c>
      <c r="G173" s="8" t="s">
        <v>533</v>
      </c>
      <c r="H173" s="1">
        <v>2</v>
      </c>
      <c r="I173" s="9" t="s">
        <v>917</v>
      </c>
      <c r="J173" s="2" t="s">
        <v>916</v>
      </c>
      <c r="K173" s="1"/>
    </row>
    <row r="174" spans="1:11" ht="63">
      <c r="A174" s="1">
        <f t="shared" si="3"/>
        <v>173</v>
      </c>
      <c r="B174" s="1">
        <v>2025</v>
      </c>
      <c r="C174" s="1">
        <v>4</v>
      </c>
      <c r="D174" s="1" t="s">
        <v>198</v>
      </c>
      <c r="E174" s="1" t="str">
        <f>IF(D174="ストーリー", INT((COUNTIF($D$2:D174, "ストーリー")-1)/3) + 1, "NA")</f>
        <v>NA</v>
      </c>
      <c r="F174" s="1" t="s">
        <v>446</v>
      </c>
      <c r="G174" s="8" t="s">
        <v>534</v>
      </c>
      <c r="H174" s="1">
        <v>3</v>
      </c>
      <c r="I174" s="9" t="s">
        <v>919</v>
      </c>
      <c r="J174" s="2" t="s">
        <v>918</v>
      </c>
      <c r="K174" s="1"/>
    </row>
    <row r="175" spans="1:11" ht="63">
      <c r="A175" s="1">
        <f t="shared" si="3"/>
        <v>174</v>
      </c>
      <c r="B175" s="1">
        <v>2025</v>
      </c>
      <c r="C175" s="1">
        <v>4</v>
      </c>
      <c r="D175" s="1" t="s">
        <v>198</v>
      </c>
      <c r="E175" s="1" t="str">
        <f>IF(D175="ストーリー", INT((COUNTIF($D$2:D175, "ストーリー")-1)/3) + 1, "NA")</f>
        <v>NA</v>
      </c>
      <c r="F175" s="1" t="s">
        <v>446</v>
      </c>
      <c r="G175" s="8" t="s">
        <v>842</v>
      </c>
      <c r="H175" s="1">
        <v>2</v>
      </c>
      <c r="I175" s="9" t="s">
        <v>920</v>
      </c>
      <c r="J175" s="2" t="s">
        <v>923</v>
      </c>
      <c r="K175" s="1"/>
    </row>
    <row r="176" spans="1:11" ht="63">
      <c r="A176" s="1">
        <f t="shared" si="3"/>
        <v>175</v>
      </c>
      <c r="B176" s="1">
        <v>2025</v>
      </c>
      <c r="C176" s="1">
        <v>4</v>
      </c>
      <c r="D176" s="1" t="s">
        <v>198</v>
      </c>
      <c r="E176" s="1" t="str">
        <f>IF(D176="ストーリー", INT((COUNTIF($D$2:D176, "ストーリー")-1)/3) + 1, "NA")</f>
        <v>NA</v>
      </c>
      <c r="F176" s="1" t="s">
        <v>446</v>
      </c>
      <c r="G176" s="8" t="s">
        <v>535</v>
      </c>
      <c r="H176" s="1">
        <v>4</v>
      </c>
      <c r="I176" s="9" t="s">
        <v>921</v>
      </c>
      <c r="J176" s="2" t="s">
        <v>922</v>
      </c>
      <c r="K176" s="1"/>
    </row>
    <row r="177" spans="1:11" ht="63">
      <c r="A177" s="1">
        <f t="shared" si="3"/>
        <v>176</v>
      </c>
      <c r="B177" s="1">
        <v>2025</v>
      </c>
      <c r="C177" s="1">
        <v>4</v>
      </c>
      <c r="D177" s="1" t="s">
        <v>198</v>
      </c>
      <c r="E177" s="1" t="str">
        <f>IF(D177="ストーリー", INT((COUNTIF($D$2:D177, "ストーリー")-1)/3) + 1, "NA")</f>
        <v>NA</v>
      </c>
      <c r="F177" s="1" t="s">
        <v>446</v>
      </c>
      <c r="G177" s="8" t="s">
        <v>536</v>
      </c>
      <c r="H177" s="1">
        <v>3</v>
      </c>
      <c r="I177" s="9" t="s">
        <v>924</v>
      </c>
      <c r="J177" s="2" t="s">
        <v>925</v>
      </c>
      <c r="K177" s="1"/>
    </row>
    <row r="178" spans="1:11" ht="63">
      <c r="A178" s="1">
        <f t="shared" si="3"/>
        <v>177</v>
      </c>
      <c r="B178" s="1">
        <v>2025</v>
      </c>
      <c r="C178" s="1">
        <v>4</v>
      </c>
      <c r="D178" s="1" t="s">
        <v>198</v>
      </c>
      <c r="E178" s="1" t="str">
        <f>IF(D178="ストーリー", INT((COUNTIF($D$2:D178, "ストーリー")-1)/3) + 1, "NA")</f>
        <v>NA</v>
      </c>
      <c r="F178" s="1" t="s">
        <v>446</v>
      </c>
      <c r="G178" s="8" t="s">
        <v>537</v>
      </c>
      <c r="H178" s="1">
        <v>1</v>
      </c>
      <c r="I178" s="9" t="s">
        <v>926</v>
      </c>
      <c r="J178" s="2" t="s">
        <v>927</v>
      </c>
      <c r="K178" s="1"/>
    </row>
    <row r="179" spans="1:11" ht="63">
      <c r="A179" s="1">
        <f t="shared" si="3"/>
        <v>178</v>
      </c>
      <c r="B179" s="1">
        <v>2025</v>
      </c>
      <c r="C179" s="1">
        <v>4</v>
      </c>
      <c r="D179" s="1" t="s">
        <v>198</v>
      </c>
      <c r="E179" s="1" t="str">
        <f>IF(D179="ストーリー", INT((COUNTIF($D$2:D179, "ストーリー")-1)/3) + 1, "NA")</f>
        <v>NA</v>
      </c>
      <c r="F179" s="1" t="s">
        <v>446</v>
      </c>
      <c r="G179" s="8" t="s">
        <v>928</v>
      </c>
      <c r="H179" s="1">
        <v>1</v>
      </c>
      <c r="I179" s="9" t="s">
        <v>929</v>
      </c>
      <c r="J179" s="2" t="s">
        <v>930</v>
      </c>
      <c r="K179" s="1"/>
    </row>
    <row r="180" spans="1:11" ht="63">
      <c r="A180" s="1">
        <f t="shared" si="3"/>
        <v>179</v>
      </c>
      <c r="B180" s="1">
        <v>2025</v>
      </c>
      <c r="C180" s="1">
        <v>4</v>
      </c>
      <c r="D180" s="1" t="s">
        <v>198</v>
      </c>
      <c r="E180" s="1" t="str">
        <f>IF(D180="ストーリー", INT((COUNTIF($D$2:D180, "ストーリー")-1)/3) + 1, "NA")</f>
        <v>NA</v>
      </c>
      <c r="F180" s="1" t="s">
        <v>446</v>
      </c>
      <c r="G180" s="8" t="s">
        <v>841</v>
      </c>
      <c r="H180" s="1">
        <v>3</v>
      </c>
      <c r="I180" s="9" t="s">
        <v>932</v>
      </c>
      <c r="J180" s="2" t="s">
        <v>931</v>
      </c>
      <c r="K180" s="1"/>
    </row>
    <row r="181" spans="1:11" ht="63">
      <c r="A181" s="1">
        <f t="shared" si="3"/>
        <v>180</v>
      </c>
      <c r="B181" s="1">
        <v>2025</v>
      </c>
      <c r="C181" s="1">
        <v>4</v>
      </c>
      <c r="D181" s="1" t="s">
        <v>198</v>
      </c>
      <c r="E181" s="1" t="str">
        <f>IF(D181="ストーリー", INT((COUNTIF($D$2:D181, "ストーリー")-1)/3) + 1, "NA")</f>
        <v>NA</v>
      </c>
      <c r="F181" s="1" t="s">
        <v>446</v>
      </c>
      <c r="G181" s="8" t="s">
        <v>538</v>
      </c>
      <c r="H181" s="1">
        <v>2</v>
      </c>
      <c r="I181" s="9" t="s">
        <v>933</v>
      </c>
      <c r="J181" s="2" t="s">
        <v>934</v>
      </c>
      <c r="K181" s="1"/>
    </row>
    <row r="182" spans="1:11" ht="63">
      <c r="A182" s="1">
        <f t="shared" si="3"/>
        <v>181</v>
      </c>
      <c r="B182" s="1">
        <v>2025</v>
      </c>
      <c r="C182" s="1">
        <v>4</v>
      </c>
      <c r="D182" s="1" t="s">
        <v>198</v>
      </c>
      <c r="E182" s="1" t="str">
        <f>IF(D182="ストーリー", INT((COUNTIF($D$2:D182, "ストーリー")-1)/3) + 1, "NA")</f>
        <v>NA</v>
      </c>
      <c r="F182" s="1" t="s">
        <v>446</v>
      </c>
      <c r="G182" s="8" t="s">
        <v>539</v>
      </c>
      <c r="H182" s="1">
        <v>2</v>
      </c>
      <c r="I182" s="9" t="s">
        <v>935</v>
      </c>
      <c r="J182" s="2" t="s">
        <v>936</v>
      </c>
      <c r="K182" s="1"/>
    </row>
    <row r="183" spans="1:11" ht="63">
      <c r="A183" s="1">
        <f t="shared" si="3"/>
        <v>182</v>
      </c>
      <c r="B183" s="1">
        <v>2025</v>
      </c>
      <c r="C183" s="1">
        <v>4</v>
      </c>
      <c r="D183" s="1" t="s">
        <v>198</v>
      </c>
      <c r="E183" s="1" t="str">
        <f>IF(D183="ストーリー", INT((COUNTIF($D$2:D183, "ストーリー")-1)/3) + 1, "NA")</f>
        <v>NA</v>
      </c>
      <c r="F183" s="1" t="s">
        <v>446</v>
      </c>
      <c r="G183" s="8" t="s">
        <v>540</v>
      </c>
      <c r="H183" s="1">
        <v>2</v>
      </c>
      <c r="I183" s="9" t="s">
        <v>937</v>
      </c>
      <c r="J183" s="2" t="s">
        <v>938</v>
      </c>
      <c r="K183" s="1"/>
    </row>
    <row r="184" spans="1:11" ht="63">
      <c r="A184" s="1">
        <f t="shared" si="3"/>
        <v>183</v>
      </c>
      <c r="B184" s="1">
        <v>2025</v>
      </c>
      <c r="C184" s="1">
        <v>4</v>
      </c>
      <c r="D184" s="1" t="s">
        <v>198</v>
      </c>
      <c r="E184" s="1" t="str">
        <f>IF(D184="ストーリー", INT((COUNTIF($D$2:D184, "ストーリー")-1)/3) + 1, "NA")</f>
        <v>NA</v>
      </c>
      <c r="F184" s="1" t="s">
        <v>446</v>
      </c>
      <c r="G184" s="8" t="s">
        <v>541</v>
      </c>
      <c r="H184" s="1">
        <v>4</v>
      </c>
      <c r="I184" s="5" t="s">
        <v>941</v>
      </c>
      <c r="J184" s="2" t="s">
        <v>939</v>
      </c>
      <c r="K184" s="1"/>
    </row>
    <row r="185" spans="1:11" ht="63">
      <c r="A185" s="1">
        <f t="shared" si="3"/>
        <v>184</v>
      </c>
      <c r="B185" s="1">
        <v>2025</v>
      </c>
      <c r="C185" s="1">
        <v>4</v>
      </c>
      <c r="D185" s="1" t="s">
        <v>198</v>
      </c>
      <c r="E185" s="1" t="str">
        <f>IF(D185="ストーリー", INT((COUNTIF($D$2:D185, "ストーリー")-1)/3) + 1, "NA")</f>
        <v>NA</v>
      </c>
      <c r="F185" s="1" t="s">
        <v>446</v>
      </c>
      <c r="G185" s="8" t="s">
        <v>542</v>
      </c>
      <c r="H185" s="1">
        <v>3</v>
      </c>
      <c r="I185" s="9" t="s">
        <v>940</v>
      </c>
      <c r="J185" s="2" t="s">
        <v>942</v>
      </c>
      <c r="K185" s="1"/>
    </row>
    <row r="186" spans="1:11" ht="63">
      <c r="A186" s="1">
        <f t="shared" si="3"/>
        <v>185</v>
      </c>
      <c r="B186" s="1">
        <v>2025</v>
      </c>
      <c r="C186" s="1">
        <v>4</v>
      </c>
      <c r="D186" s="1" t="s">
        <v>198</v>
      </c>
      <c r="E186" s="1" t="str">
        <f>IF(D186="ストーリー", INT((COUNTIF($D$2:D186, "ストーリー")-1)/3) + 1, "NA")</f>
        <v>NA</v>
      </c>
      <c r="F186" s="1" t="s">
        <v>446</v>
      </c>
      <c r="G186" s="8" t="s">
        <v>543</v>
      </c>
      <c r="H186" s="1">
        <v>1</v>
      </c>
      <c r="I186" s="9" t="s">
        <v>943</v>
      </c>
      <c r="J186" s="2" t="s">
        <v>944</v>
      </c>
      <c r="K186" s="1"/>
    </row>
    <row r="187" spans="1:11" ht="63">
      <c r="A187" s="1">
        <f t="shared" si="3"/>
        <v>186</v>
      </c>
      <c r="B187" s="1">
        <v>2025</v>
      </c>
      <c r="C187" s="1">
        <v>4</v>
      </c>
      <c r="D187" s="1" t="s">
        <v>198</v>
      </c>
      <c r="E187" s="1" t="str">
        <f>IF(D187="ストーリー", INT((COUNTIF($D$2:D187, "ストーリー")-1)/3) + 1, "NA")</f>
        <v>NA</v>
      </c>
      <c r="F187" s="1" t="s">
        <v>446</v>
      </c>
      <c r="G187" s="8" t="s">
        <v>853</v>
      </c>
      <c r="H187" s="1">
        <v>1</v>
      </c>
      <c r="I187" s="9" t="s">
        <v>945</v>
      </c>
      <c r="J187" s="2" t="s">
        <v>946</v>
      </c>
      <c r="K187" s="1"/>
    </row>
    <row r="188" spans="1:11" ht="63">
      <c r="A188" s="1">
        <f t="shared" si="3"/>
        <v>187</v>
      </c>
      <c r="B188" s="1">
        <v>2025</v>
      </c>
      <c r="C188" s="1">
        <v>4</v>
      </c>
      <c r="D188" s="1" t="s">
        <v>198</v>
      </c>
      <c r="E188" s="1" t="str">
        <f>IF(D188="ストーリー", INT((COUNTIF($D$2:D188, "ストーリー")-1)/3) + 1, "NA")</f>
        <v>NA</v>
      </c>
      <c r="F188" s="1" t="s">
        <v>446</v>
      </c>
      <c r="G188" s="8" t="s">
        <v>1190</v>
      </c>
      <c r="H188" s="1">
        <v>2</v>
      </c>
      <c r="I188" s="9" t="s">
        <v>947</v>
      </c>
      <c r="J188" s="2" t="s">
        <v>948</v>
      </c>
      <c r="K188" s="1"/>
    </row>
    <row r="189" spans="1:11" ht="63">
      <c r="A189" s="1">
        <f t="shared" ref="A189:A255" si="4">ROW()-1</f>
        <v>188</v>
      </c>
      <c r="B189" s="1">
        <v>2025</v>
      </c>
      <c r="C189" s="1">
        <v>4</v>
      </c>
      <c r="D189" s="1" t="s">
        <v>198</v>
      </c>
      <c r="E189" s="1" t="str">
        <f>IF(D189="ストーリー", INT((COUNTIF($D$2:D189, "ストーリー")-1)/3) + 1, "NA")</f>
        <v>NA</v>
      </c>
      <c r="F189" s="1" t="s">
        <v>446</v>
      </c>
      <c r="G189" s="8" t="s">
        <v>544</v>
      </c>
      <c r="H189" s="1">
        <v>2</v>
      </c>
      <c r="I189" s="9" t="s">
        <v>949</v>
      </c>
      <c r="J189" s="2" t="s">
        <v>950</v>
      </c>
      <c r="K189" s="1"/>
    </row>
    <row r="190" spans="1:11" ht="63">
      <c r="A190" s="1">
        <f t="shared" si="4"/>
        <v>189</v>
      </c>
      <c r="B190" s="1">
        <v>2025</v>
      </c>
      <c r="C190" s="1">
        <v>4</v>
      </c>
      <c r="D190" s="1" t="s">
        <v>198</v>
      </c>
      <c r="E190" s="1" t="str">
        <f>IF(D190="ストーリー", INT((COUNTIF($D$2:D190, "ストーリー")-1)/3) + 1, "NA")</f>
        <v>NA</v>
      </c>
      <c r="F190" s="1" t="s">
        <v>446</v>
      </c>
      <c r="G190" s="8" t="s">
        <v>545</v>
      </c>
      <c r="H190" s="1">
        <v>3</v>
      </c>
      <c r="I190" s="9" t="s">
        <v>951</v>
      </c>
      <c r="J190" s="2" t="s">
        <v>952</v>
      </c>
      <c r="K190" s="1"/>
    </row>
    <row r="191" spans="1:11" ht="63">
      <c r="A191" s="1">
        <f t="shared" si="4"/>
        <v>190</v>
      </c>
      <c r="B191" s="1">
        <v>2025</v>
      </c>
      <c r="C191" s="1">
        <v>4</v>
      </c>
      <c r="D191" s="1" t="s">
        <v>198</v>
      </c>
      <c r="E191" s="1" t="str">
        <f>IF(D191="ストーリー", INT((COUNTIF($D$2:D191, "ストーリー")-1)/3) + 1, "NA")</f>
        <v>NA</v>
      </c>
      <c r="F191" s="1" t="s">
        <v>446</v>
      </c>
      <c r="G191" s="8" t="s">
        <v>546</v>
      </c>
      <c r="H191" s="1">
        <v>4</v>
      </c>
      <c r="I191" s="9" t="s">
        <v>954</v>
      </c>
      <c r="J191" s="2" t="s">
        <v>953</v>
      </c>
      <c r="K191" s="1"/>
    </row>
    <row r="192" spans="1:11" ht="63">
      <c r="A192" s="1">
        <f t="shared" si="4"/>
        <v>191</v>
      </c>
      <c r="B192" s="1">
        <v>2025</v>
      </c>
      <c r="C192" s="1">
        <v>4</v>
      </c>
      <c r="D192" s="1" t="s">
        <v>198</v>
      </c>
      <c r="E192" s="1" t="str">
        <f>IF(D192="ストーリー", INT((COUNTIF($D$2:D192, "ストーリー")-1)/3) + 1, "NA")</f>
        <v>NA</v>
      </c>
      <c r="F192" s="1" t="s">
        <v>446</v>
      </c>
      <c r="G192" s="8" t="s">
        <v>547</v>
      </c>
      <c r="H192" s="1">
        <v>2</v>
      </c>
      <c r="I192" s="9" t="s">
        <v>956</v>
      </c>
      <c r="J192" s="2" t="s">
        <v>862</v>
      </c>
      <c r="K192" s="1"/>
    </row>
    <row r="193" spans="1:11" ht="63">
      <c r="A193" s="1">
        <f t="shared" si="4"/>
        <v>192</v>
      </c>
      <c r="B193" s="1">
        <v>2025</v>
      </c>
      <c r="C193" s="1">
        <v>4</v>
      </c>
      <c r="D193" s="1" t="s">
        <v>198</v>
      </c>
      <c r="E193" s="1" t="str">
        <f>IF(D193="ストーリー", INT((COUNTIF($D$2:D193, "ストーリー")-1)/3) + 1, "NA")</f>
        <v>NA</v>
      </c>
      <c r="F193" s="1" t="s">
        <v>446</v>
      </c>
      <c r="G193" s="8" t="s">
        <v>548</v>
      </c>
      <c r="H193" s="1">
        <v>1</v>
      </c>
      <c r="I193" s="9" t="s">
        <v>957</v>
      </c>
      <c r="J193" s="2" t="s">
        <v>958</v>
      </c>
      <c r="K193" s="1"/>
    </row>
    <row r="194" spans="1:11" ht="63">
      <c r="A194" s="1">
        <f t="shared" si="4"/>
        <v>193</v>
      </c>
      <c r="B194" s="1">
        <v>2025</v>
      </c>
      <c r="C194" s="1">
        <v>4</v>
      </c>
      <c r="D194" s="1" t="s">
        <v>198</v>
      </c>
      <c r="E194" s="1" t="str">
        <f>IF(D194="ストーリー", INT((COUNTIF($D$2:D194, "ストーリー")-1)/3) + 1, "NA")</f>
        <v>NA</v>
      </c>
      <c r="F194" s="1" t="s">
        <v>446</v>
      </c>
      <c r="G194" s="8" t="s">
        <v>549</v>
      </c>
      <c r="H194" s="1">
        <v>4</v>
      </c>
      <c r="I194" s="9" t="s">
        <v>959</v>
      </c>
      <c r="J194" s="2" t="s">
        <v>960</v>
      </c>
      <c r="K194" s="1"/>
    </row>
    <row r="195" spans="1:11" ht="63">
      <c r="A195" s="1">
        <f t="shared" si="4"/>
        <v>194</v>
      </c>
      <c r="B195" s="1">
        <v>2025</v>
      </c>
      <c r="C195" s="1">
        <v>4</v>
      </c>
      <c r="D195" s="1" t="s">
        <v>198</v>
      </c>
      <c r="E195" s="1" t="str">
        <f>IF(D195="ストーリー", INT((COUNTIF($D$2:D195, "ストーリー")-1)/3) + 1, "NA")</f>
        <v>NA</v>
      </c>
      <c r="F195" s="1" t="s">
        <v>446</v>
      </c>
      <c r="G195" s="8" t="s">
        <v>550</v>
      </c>
      <c r="H195" s="1">
        <v>1</v>
      </c>
      <c r="I195" s="9" t="s">
        <v>961</v>
      </c>
      <c r="J195" s="2" t="s">
        <v>962</v>
      </c>
      <c r="K195" s="1"/>
    </row>
    <row r="196" spans="1:11" ht="63">
      <c r="A196" s="1">
        <f t="shared" si="4"/>
        <v>195</v>
      </c>
      <c r="B196" s="1">
        <v>2025</v>
      </c>
      <c r="C196" s="1">
        <v>4</v>
      </c>
      <c r="D196" s="1" t="s">
        <v>198</v>
      </c>
      <c r="E196" s="1" t="str">
        <f>IF(D196="ストーリー", INT((COUNTIF($D$2:D196, "ストーリー")-1)/3) + 1, "NA")</f>
        <v>NA</v>
      </c>
      <c r="F196" s="1" t="s">
        <v>446</v>
      </c>
      <c r="G196" s="8" t="s">
        <v>551</v>
      </c>
      <c r="H196" s="1">
        <v>3</v>
      </c>
      <c r="I196" s="9" t="s">
        <v>964</v>
      </c>
      <c r="J196" s="2" t="s">
        <v>963</v>
      </c>
      <c r="K196" s="1"/>
    </row>
    <row r="197" spans="1:11" ht="63">
      <c r="A197" s="1">
        <f t="shared" si="4"/>
        <v>196</v>
      </c>
      <c r="B197" s="1">
        <v>2025</v>
      </c>
      <c r="C197" s="1">
        <v>4</v>
      </c>
      <c r="D197" s="1" t="s">
        <v>198</v>
      </c>
      <c r="E197" s="1" t="str">
        <f>IF(D197="ストーリー", INT((COUNTIF($D$2:D197, "ストーリー")-1)/3) + 1, "NA")</f>
        <v>NA</v>
      </c>
      <c r="F197" s="1" t="s">
        <v>446</v>
      </c>
      <c r="G197" s="8" t="s">
        <v>966</v>
      </c>
      <c r="H197" s="1">
        <v>1</v>
      </c>
      <c r="I197" s="9" t="s">
        <v>965</v>
      </c>
      <c r="J197" s="2" t="s">
        <v>967</v>
      </c>
      <c r="K197" s="1"/>
    </row>
    <row r="198" spans="1:11" ht="63">
      <c r="A198" s="1">
        <f t="shared" si="4"/>
        <v>197</v>
      </c>
      <c r="B198" s="1">
        <v>2025</v>
      </c>
      <c r="C198" s="1">
        <v>4</v>
      </c>
      <c r="D198" s="1" t="s">
        <v>198</v>
      </c>
      <c r="E198" s="1" t="str">
        <f>IF(D198="ストーリー", INT((COUNTIF($D$2:D198, "ストーリー")-1)/3) + 1, "NA")</f>
        <v>NA</v>
      </c>
      <c r="F198" s="1" t="s">
        <v>446</v>
      </c>
      <c r="G198" s="8" t="s">
        <v>843</v>
      </c>
      <c r="H198" s="1">
        <v>3</v>
      </c>
      <c r="I198" s="9" t="s">
        <v>968</v>
      </c>
      <c r="J198" s="2" t="s">
        <v>969</v>
      </c>
      <c r="K198" s="1"/>
    </row>
    <row r="199" spans="1:11" ht="63">
      <c r="A199" s="1">
        <f t="shared" si="4"/>
        <v>198</v>
      </c>
      <c r="B199" s="1">
        <v>2025</v>
      </c>
      <c r="C199" s="1">
        <v>4</v>
      </c>
      <c r="D199" s="1" t="s">
        <v>198</v>
      </c>
      <c r="E199" s="1" t="str">
        <f>IF(D199="ストーリー", INT((COUNTIF($D$2:D199, "ストーリー")-1)/3) + 1, "NA")</f>
        <v>NA</v>
      </c>
      <c r="F199" s="1" t="s">
        <v>446</v>
      </c>
      <c r="G199" s="8" t="s">
        <v>552</v>
      </c>
      <c r="H199" s="1">
        <v>1</v>
      </c>
      <c r="I199" s="9" t="s">
        <v>970</v>
      </c>
      <c r="J199" s="2" t="s">
        <v>971</v>
      </c>
      <c r="K199" s="1"/>
    </row>
    <row r="200" spans="1:11" ht="63">
      <c r="A200" s="1">
        <f t="shared" si="4"/>
        <v>199</v>
      </c>
      <c r="B200" s="1">
        <v>2025</v>
      </c>
      <c r="C200" s="1">
        <v>4</v>
      </c>
      <c r="D200" s="1" t="s">
        <v>198</v>
      </c>
      <c r="E200" s="1" t="str">
        <f>IF(D200="ストーリー", INT((COUNTIF($D$2:D200, "ストーリー")-1)/3) + 1, "NA")</f>
        <v>NA</v>
      </c>
      <c r="F200" s="1" t="s">
        <v>446</v>
      </c>
      <c r="G200" s="8" t="s">
        <v>854</v>
      </c>
      <c r="H200" s="1">
        <v>3</v>
      </c>
      <c r="I200" s="9" t="s">
        <v>972</v>
      </c>
      <c r="J200" s="2" t="s">
        <v>973</v>
      </c>
      <c r="K200" s="1"/>
    </row>
    <row r="201" spans="1:11" ht="63">
      <c r="A201" s="1">
        <f t="shared" si="4"/>
        <v>200</v>
      </c>
      <c r="B201" s="1">
        <v>2025</v>
      </c>
      <c r="C201" s="1">
        <v>3</v>
      </c>
      <c r="D201" s="1" t="s">
        <v>198</v>
      </c>
      <c r="E201" s="1" t="str">
        <f>IF(D201="ストーリー", INT((COUNTIF($D$2:D201, "ストーリー")-1)/3) + 1, "NA")</f>
        <v>NA</v>
      </c>
      <c r="F201" s="1" t="s">
        <v>446</v>
      </c>
      <c r="G201" s="8" t="s">
        <v>553</v>
      </c>
      <c r="H201" s="1">
        <v>2</v>
      </c>
      <c r="I201" s="9" t="s">
        <v>975</v>
      </c>
      <c r="J201" s="2" t="s">
        <v>974</v>
      </c>
      <c r="K201" s="1"/>
    </row>
    <row r="202" spans="1:11" ht="63">
      <c r="A202" s="1">
        <f t="shared" si="4"/>
        <v>201</v>
      </c>
      <c r="B202" s="1">
        <v>2025</v>
      </c>
      <c r="C202" s="1">
        <v>3</v>
      </c>
      <c r="D202" s="1" t="s">
        <v>198</v>
      </c>
      <c r="E202" s="1" t="str">
        <f>IF(D202="ストーリー", INT((COUNTIF($D$2:D202, "ストーリー")-1)/3) + 1, "NA")</f>
        <v>NA</v>
      </c>
      <c r="F202" s="1" t="s">
        <v>446</v>
      </c>
      <c r="G202" s="8" t="s">
        <v>554</v>
      </c>
      <c r="H202" s="1">
        <v>2</v>
      </c>
      <c r="I202" s="9" t="s">
        <v>977</v>
      </c>
      <c r="J202" s="2" t="s">
        <v>976</v>
      </c>
      <c r="K202" s="1"/>
    </row>
    <row r="203" spans="1:11" ht="63">
      <c r="A203" s="1">
        <f t="shared" si="4"/>
        <v>202</v>
      </c>
      <c r="B203" s="1">
        <v>2025</v>
      </c>
      <c r="C203" s="1">
        <v>3</v>
      </c>
      <c r="D203" s="1" t="s">
        <v>198</v>
      </c>
      <c r="E203" s="1" t="str">
        <f>IF(D203="ストーリー", INT((COUNTIF($D$2:D203, "ストーリー")-1)/3) + 1, "NA")</f>
        <v>NA</v>
      </c>
      <c r="F203" s="1" t="s">
        <v>446</v>
      </c>
      <c r="G203" s="8" t="s">
        <v>1065</v>
      </c>
      <c r="H203" s="1">
        <v>1</v>
      </c>
      <c r="I203" s="9" t="s">
        <v>979</v>
      </c>
      <c r="J203" s="2" t="s">
        <v>978</v>
      </c>
      <c r="K203" s="1"/>
    </row>
    <row r="204" spans="1:11" ht="63">
      <c r="A204" s="1">
        <f t="shared" si="4"/>
        <v>203</v>
      </c>
      <c r="B204" s="1">
        <v>2025</v>
      </c>
      <c r="C204" s="1">
        <v>3</v>
      </c>
      <c r="D204" s="1" t="s">
        <v>198</v>
      </c>
      <c r="E204" s="1" t="str">
        <f>IF(D204="ストーリー", INT((COUNTIF($D$2:D204, "ストーリー")-1)/3) + 1, "NA")</f>
        <v>NA</v>
      </c>
      <c r="F204" s="1" t="s">
        <v>446</v>
      </c>
      <c r="G204" s="8" t="s">
        <v>855</v>
      </c>
      <c r="H204" s="1">
        <v>1</v>
      </c>
      <c r="I204" s="9" t="s">
        <v>980</v>
      </c>
      <c r="J204" s="2" t="s">
        <v>981</v>
      </c>
      <c r="K204" s="1"/>
    </row>
    <row r="205" spans="1:11" ht="63">
      <c r="A205" s="1">
        <f t="shared" si="4"/>
        <v>204</v>
      </c>
      <c r="B205" s="1">
        <v>2025</v>
      </c>
      <c r="C205" s="1">
        <v>3</v>
      </c>
      <c r="D205" s="1" t="s">
        <v>198</v>
      </c>
      <c r="E205" s="1" t="str">
        <f>IF(D205="ストーリー", INT((COUNTIF($D$2:D205, "ストーリー")-1)/3) + 1, "NA")</f>
        <v>NA</v>
      </c>
      <c r="F205" s="1" t="s">
        <v>446</v>
      </c>
      <c r="G205" s="8" t="s">
        <v>555</v>
      </c>
      <c r="H205" s="1">
        <v>1</v>
      </c>
      <c r="I205" s="9" t="s">
        <v>982</v>
      </c>
      <c r="J205" s="2" t="s">
        <v>983</v>
      </c>
      <c r="K205" s="1"/>
    </row>
    <row r="206" spans="1:11" ht="63">
      <c r="A206" s="1">
        <f t="shared" si="4"/>
        <v>205</v>
      </c>
      <c r="B206" s="1">
        <v>2025</v>
      </c>
      <c r="C206" s="1">
        <v>3</v>
      </c>
      <c r="D206" s="1" t="s">
        <v>198</v>
      </c>
      <c r="E206" s="1" t="str">
        <f>IF(D206="ストーリー", INT((COUNTIF($D$2:D206, "ストーリー")-1)/3) + 1, "NA")</f>
        <v>NA</v>
      </c>
      <c r="F206" s="1" t="s">
        <v>446</v>
      </c>
      <c r="G206" s="8" t="s">
        <v>556</v>
      </c>
      <c r="H206" s="1">
        <v>3</v>
      </c>
      <c r="I206" s="9" t="s">
        <v>984</v>
      </c>
      <c r="J206" s="2" t="s">
        <v>985</v>
      </c>
      <c r="K206" s="1"/>
    </row>
    <row r="207" spans="1:11" ht="63">
      <c r="A207" s="1">
        <f t="shared" si="4"/>
        <v>206</v>
      </c>
      <c r="B207" s="1">
        <v>2025</v>
      </c>
      <c r="C207" s="1">
        <v>3</v>
      </c>
      <c r="D207" s="1" t="s">
        <v>198</v>
      </c>
      <c r="E207" s="1" t="str">
        <f>IF(D207="ストーリー", INT((COUNTIF($D$2:D207, "ストーリー")-1)/3) + 1, "NA")</f>
        <v>NA</v>
      </c>
      <c r="F207" s="1" t="s">
        <v>446</v>
      </c>
      <c r="G207" s="8" t="s">
        <v>557</v>
      </c>
      <c r="H207" s="1">
        <v>1</v>
      </c>
      <c r="I207" s="9" t="s">
        <v>986</v>
      </c>
      <c r="J207" s="2" t="s">
        <v>987</v>
      </c>
      <c r="K207" s="1"/>
    </row>
    <row r="208" spans="1:11" ht="63">
      <c r="A208" s="1">
        <f t="shared" si="4"/>
        <v>207</v>
      </c>
      <c r="B208" s="1">
        <v>2025</v>
      </c>
      <c r="C208" s="1">
        <v>3</v>
      </c>
      <c r="D208" s="1" t="s">
        <v>198</v>
      </c>
      <c r="E208" s="1" t="str">
        <f>IF(D208="ストーリー", INT((COUNTIF($D$2:D208, "ストーリー")-1)/3) + 1, "NA")</f>
        <v>NA</v>
      </c>
      <c r="F208" s="1" t="s">
        <v>446</v>
      </c>
      <c r="G208" s="8" t="s">
        <v>558</v>
      </c>
      <c r="H208" s="1">
        <v>3</v>
      </c>
      <c r="I208" s="9" t="s">
        <v>988</v>
      </c>
      <c r="J208" s="2" t="s">
        <v>989</v>
      </c>
      <c r="K208" s="1"/>
    </row>
    <row r="209" spans="1:11" ht="63">
      <c r="A209" s="1">
        <f t="shared" si="4"/>
        <v>208</v>
      </c>
      <c r="B209" s="1">
        <v>2025</v>
      </c>
      <c r="C209" s="1">
        <v>3</v>
      </c>
      <c r="D209" s="1" t="s">
        <v>198</v>
      </c>
      <c r="E209" s="1" t="str">
        <f>IF(D209="ストーリー", INT((COUNTIF($D$2:D209, "ストーリー")-1)/3) + 1, "NA")</f>
        <v>NA</v>
      </c>
      <c r="F209" s="1" t="s">
        <v>446</v>
      </c>
      <c r="G209" s="8" t="s">
        <v>559</v>
      </c>
      <c r="H209" s="1">
        <v>4</v>
      </c>
      <c r="I209" s="9" t="s">
        <v>990</v>
      </c>
      <c r="J209" s="2" t="s">
        <v>991</v>
      </c>
      <c r="K209" s="1"/>
    </row>
    <row r="210" spans="1:11" ht="63">
      <c r="A210" s="1">
        <f t="shared" si="4"/>
        <v>209</v>
      </c>
      <c r="B210" s="1">
        <v>2025</v>
      </c>
      <c r="C210" s="1">
        <v>3</v>
      </c>
      <c r="D210" s="1" t="s">
        <v>198</v>
      </c>
      <c r="E210" s="1" t="str">
        <f>IF(D210="ストーリー", INT((COUNTIF($D$2:D210, "ストーリー")-1)/3) + 1, "NA")</f>
        <v>NA</v>
      </c>
      <c r="F210" s="1" t="s">
        <v>446</v>
      </c>
      <c r="G210" s="8" t="s">
        <v>560</v>
      </c>
      <c r="H210" s="1">
        <v>4</v>
      </c>
      <c r="I210" s="9" t="s">
        <v>992</v>
      </c>
      <c r="J210" s="2" t="s">
        <v>1066</v>
      </c>
      <c r="K210" s="1"/>
    </row>
    <row r="211" spans="1:11" ht="63">
      <c r="A211" s="1">
        <f t="shared" si="4"/>
        <v>210</v>
      </c>
      <c r="B211" s="1">
        <v>2025</v>
      </c>
      <c r="C211" s="1">
        <v>3</v>
      </c>
      <c r="D211" s="1" t="s">
        <v>198</v>
      </c>
      <c r="E211" s="1" t="str">
        <f>IF(D211="ストーリー", INT((COUNTIF($D$2:D211, "ストーリー")-1)/3) + 1, "NA")</f>
        <v>NA</v>
      </c>
      <c r="F211" s="1" t="s">
        <v>446</v>
      </c>
      <c r="G211" s="8" t="s">
        <v>561</v>
      </c>
      <c r="H211" s="1">
        <v>1</v>
      </c>
      <c r="I211" s="9" t="s">
        <v>993</v>
      </c>
      <c r="J211" s="2" t="s">
        <v>994</v>
      </c>
      <c r="K211" s="1"/>
    </row>
    <row r="212" spans="1:11" ht="63">
      <c r="A212" s="1">
        <f t="shared" si="4"/>
        <v>211</v>
      </c>
      <c r="B212" s="1">
        <v>2025</v>
      </c>
      <c r="C212" s="1">
        <v>3</v>
      </c>
      <c r="D212" s="1" t="s">
        <v>198</v>
      </c>
      <c r="E212" s="1" t="str">
        <f>IF(D212="ストーリー", INT((COUNTIF($D$2:D212, "ストーリー")-1)/3) + 1, "NA")</f>
        <v>NA</v>
      </c>
      <c r="F212" s="1" t="s">
        <v>446</v>
      </c>
      <c r="G212" s="8" t="s">
        <v>562</v>
      </c>
      <c r="H212" s="1">
        <v>1</v>
      </c>
      <c r="I212" s="9" t="s">
        <v>996</v>
      </c>
      <c r="J212" s="2" t="s">
        <v>995</v>
      </c>
      <c r="K212" s="1"/>
    </row>
    <row r="213" spans="1:11" ht="63">
      <c r="A213" s="1">
        <f t="shared" si="4"/>
        <v>212</v>
      </c>
      <c r="B213" s="1">
        <v>2025</v>
      </c>
      <c r="C213" s="1">
        <v>3</v>
      </c>
      <c r="D213" s="1" t="s">
        <v>198</v>
      </c>
      <c r="E213" s="1" t="str">
        <f>IF(D213="ストーリー", INT((COUNTIF($D$2:D213, "ストーリー")-1)/3) + 1, "NA")</f>
        <v>NA</v>
      </c>
      <c r="F213" s="1" t="s">
        <v>446</v>
      </c>
      <c r="G213" s="8" t="s">
        <v>563</v>
      </c>
      <c r="H213" s="1">
        <v>1</v>
      </c>
      <c r="I213" s="9" t="s">
        <v>997</v>
      </c>
      <c r="J213" s="2" t="s">
        <v>998</v>
      </c>
      <c r="K213" s="1"/>
    </row>
    <row r="214" spans="1:11" ht="63">
      <c r="A214" s="1">
        <f t="shared" si="4"/>
        <v>213</v>
      </c>
      <c r="B214" s="1">
        <v>2025</v>
      </c>
      <c r="C214" s="1">
        <v>3</v>
      </c>
      <c r="D214" s="1" t="s">
        <v>198</v>
      </c>
      <c r="E214" s="1" t="str">
        <f>IF(D214="ストーリー", INT((COUNTIF($D$2:D214, "ストーリー")-1)/3) + 1, "NA")</f>
        <v>NA</v>
      </c>
      <c r="F214" s="1" t="s">
        <v>446</v>
      </c>
      <c r="G214" s="8" t="s">
        <v>564</v>
      </c>
      <c r="H214" s="1">
        <v>1</v>
      </c>
      <c r="I214" s="9" t="s">
        <v>999</v>
      </c>
      <c r="J214" s="2" t="s">
        <v>1000</v>
      </c>
      <c r="K214" s="1"/>
    </row>
    <row r="215" spans="1:11" ht="63">
      <c r="A215" s="1">
        <f t="shared" si="4"/>
        <v>214</v>
      </c>
      <c r="B215" s="1">
        <v>2025</v>
      </c>
      <c r="C215" s="1">
        <v>3</v>
      </c>
      <c r="D215" s="1" t="s">
        <v>198</v>
      </c>
      <c r="E215" s="1" t="str">
        <f>IF(D215="ストーリー", INT((COUNTIF($D$2:D215, "ストーリー")-1)/3) + 1, "NA")</f>
        <v>NA</v>
      </c>
      <c r="F215" s="1" t="s">
        <v>446</v>
      </c>
      <c r="G215" s="8" t="s">
        <v>565</v>
      </c>
      <c r="H215" s="1">
        <v>1</v>
      </c>
      <c r="I215" s="9" t="s">
        <v>1002</v>
      </c>
      <c r="J215" s="2" t="s">
        <v>1001</v>
      </c>
      <c r="K215" s="1"/>
    </row>
    <row r="216" spans="1:11" ht="63">
      <c r="A216" s="1">
        <f t="shared" si="4"/>
        <v>215</v>
      </c>
      <c r="B216" s="1">
        <v>2025</v>
      </c>
      <c r="C216" s="1">
        <v>3</v>
      </c>
      <c r="D216" s="1" t="s">
        <v>198</v>
      </c>
      <c r="E216" s="1" t="str">
        <f>IF(D216="ストーリー", INT((COUNTIF($D$2:D216, "ストーリー")-1)/3) + 1, "NA")</f>
        <v>NA</v>
      </c>
      <c r="F216" s="1" t="s">
        <v>446</v>
      </c>
      <c r="G216" s="8" t="s">
        <v>566</v>
      </c>
      <c r="H216" s="1">
        <v>1</v>
      </c>
      <c r="I216" s="9" t="s">
        <v>1003</v>
      </c>
      <c r="J216" s="2" t="s">
        <v>1004</v>
      </c>
      <c r="K216" s="1"/>
    </row>
    <row r="217" spans="1:11" ht="63">
      <c r="A217" s="1">
        <f t="shared" si="4"/>
        <v>216</v>
      </c>
      <c r="B217" s="1">
        <v>2025</v>
      </c>
      <c r="C217" s="1">
        <v>3</v>
      </c>
      <c r="D217" s="1" t="s">
        <v>198</v>
      </c>
      <c r="E217" s="1" t="str">
        <f>IF(D217="ストーリー", INT((COUNTIF($D$2:D217, "ストーリー")-1)/3) + 1, "NA")</f>
        <v>NA</v>
      </c>
      <c r="F217" s="1" t="s">
        <v>446</v>
      </c>
      <c r="G217" s="8" t="s">
        <v>567</v>
      </c>
      <c r="H217" s="1">
        <v>1</v>
      </c>
      <c r="I217" s="9" t="s">
        <v>1005</v>
      </c>
      <c r="J217" s="2" t="s">
        <v>1006</v>
      </c>
      <c r="K217" s="1"/>
    </row>
    <row r="218" spans="1:11" ht="63">
      <c r="A218" s="1">
        <f t="shared" si="4"/>
        <v>217</v>
      </c>
      <c r="B218" s="1">
        <v>2025</v>
      </c>
      <c r="C218" s="1">
        <v>3</v>
      </c>
      <c r="D218" s="1" t="s">
        <v>198</v>
      </c>
      <c r="E218" s="1" t="str">
        <f>IF(D218="ストーリー", INT((COUNTIF($D$2:D218, "ストーリー")-1)/3) + 1, "NA")</f>
        <v>NA</v>
      </c>
      <c r="F218" s="1" t="s">
        <v>446</v>
      </c>
      <c r="G218" s="8" t="s">
        <v>568</v>
      </c>
      <c r="H218" s="1">
        <v>1</v>
      </c>
      <c r="I218" s="9" t="s">
        <v>1007</v>
      </c>
      <c r="J218" s="2" t="s">
        <v>1008</v>
      </c>
      <c r="K218" s="1"/>
    </row>
    <row r="219" spans="1:11" ht="63">
      <c r="A219" s="1">
        <f t="shared" si="4"/>
        <v>218</v>
      </c>
      <c r="B219" s="1">
        <v>2025</v>
      </c>
      <c r="C219" s="1">
        <v>3</v>
      </c>
      <c r="D219" s="1" t="s">
        <v>198</v>
      </c>
      <c r="E219" s="1" t="str">
        <f>IF(D219="ストーリー", INT((COUNTIF($D$2:D219, "ストーリー")-1)/3) + 1, "NA")</f>
        <v>NA</v>
      </c>
      <c r="F219" s="1" t="s">
        <v>446</v>
      </c>
      <c r="G219" s="8" t="s">
        <v>569</v>
      </c>
      <c r="H219" s="1">
        <v>1</v>
      </c>
      <c r="I219" s="9" t="s">
        <v>1009</v>
      </c>
      <c r="J219" s="2" t="s">
        <v>1010</v>
      </c>
      <c r="K219" s="1"/>
    </row>
    <row r="220" spans="1:11" ht="63">
      <c r="A220" s="1">
        <f t="shared" si="4"/>
        <v>219</v>
      </c>
      <c r="B220" s="1">
        <v>2025</v>
      </c>
      <c r="C220" s="1">
        <v>3</v>
      </c>
      <c r="D220" s="1" t="s">
        <v>198</v>
      </c>
      <c r="E220" s="1" t="str">
        <f>IF(D220="ストーリー", INT((COUNTIF($D$2:D220, "ストーリー")-1)/3) + 1, "NA")</f>
        <v>NA</v>
      </c>
      <c r="F220" s="1" t="s">
        <v>446</v>
      </c>
      <c r="G220" s="8" t="s">
        <v>570</v>
      </c>
      <c r="H220" s="1">
        <v>1</v>
      </c>
      <c r="I220" s="9" t="s">
        <v>1011</v>
      </c>
      <c r="J220" s="2" t="s">
        <v>1012</v>
      </c>
      <c r="K220" s="1"/>
    </row>
    <row r="221" spans="1:11" ht="63">
      <c r="A221" s="1">
        <f t="shared" si="4"/>
        <v>220</v>
      </c>
      <c r="B221" s="1">
        <v>2025</v>
      </c>
      <c r="C221" s="1">
        <v>2</v>
      </c>
      <c r="D221" s="1" t="s">
        <v>198</v>
      </c>
      <c r="E221" s="1" t="str">
        <f>IF(D221="ストーリー", INT((COUNTIF($D$2:D221, "ストーリー")-1)/3) + 1, "NA")</f>
        <v>NA</v>
      </c>
      <c r="F221" s="1" t="s">
        <v>446</v>
      </c>
      <c r="G221" s="8" t="s">
        <v>571</v>
      </c>
      <c r="H221" s="1">
        <v>1</v>
      </c>
      <c r="I221" s="9" t="s">
        <v>1013</v>
      </c>
      <c r="J221" s="2" t="s">
        <v>1014</v>
      </c>
      <c r="K221" s="1"/>
    </row>
    <row r="222" spans="1:11" ht="63">
      <c r="A222" s="1">
        <f t="shared" si="4"/>
        <v>221</v>
      </c>
      <c r="B222" s="1">
        <v>2025</v>
      </c>
      <c r="C222" s="1">
        <v>2</v>
      </c>
      <c r="D222" s="1" t="s">
        <v>198</v>
      </c>
      <c r="E222" s="1" t="str">
        <f>IF(D222="ストーリー", INT((COUNTIF($D$2:D222, "ストーリー")-1)/3) + 1, "NA")</f>
        <v>NA</v>
      </c>
      <c r="F222" s="1" t="s">
        <v>446</v>
      </c>
      <c r="G222" s="8" t="s">
        <v>572</v>
      </c>
      <c r="H222" s="1">
        <v>4</v>
      </c>
      <c r="I222" s="9" t="s">
        <v>1015</v>
      </c>
      <c r="J222" s="2" t="s">
        <v>1016</v>
      </c>
      <c r="K222" s="1"/>
    </row>
    <row r="223" spans="1:11" ht="63">
      <c r="A223" s="1">
        <f t="shared" si="4"/>
        <v>222</v>
      </c>
      <c r="B223" s="1">
        <v>2025</v>
      </c>
      <c r="C223" s="1">
        <v>2</v>
      </c>
      <c r="D223" s="1" t="s">
        <v>198</v>
      </c>
      <c r="E223" s="1" t="str">
        <f>IF(D223="ストーリー", INT((COUNTIF($D$2:D223, "ストーリー")-1)/3) + 1, "NA")</f>
        <v>NA</v>
      </c>
      <c r="F223" s="1" t="s">
        <v>446</v>
      </c>
      <c r="G223" s="8" t="s">
        <v>573</v>
      </c>
      <c r="H223" s="1">
        <v>2</v>
      </c>
      <c r="I223" s="9" t="s">
        <v>1017</v>
      </c>
      <c r="J223" s="2" t="s">
        <v>1018</v>
      </c>
      <c r="K223" s="1"/>
    </row>
    <row r="224" spans="1:11" ht="63">
      <c r="A224" s="1">
        <f t="shared" si="4"/>
        <v>223</v>
      </c>
      <c r="B224" s="1">
        <v>2025</v>
      </c>
      <c r="C224" s="1">
        <v>2</v>
      </c>
      <c r="D224" s="1" t="s">
        <v>198</v>
      </c>
      <c r="E224" s="1" t="str">
        <f>IF(D224="ストーリー", INT((COUNTIF($D$2:D224, "ストーリー")-1)/3) + 1, "NA")</f>
        <v>NA</v>
      </c>
      <c r="F224" s="1" t="s">
        <v>446</v>
      </c>
      <c r="G224" s="8" t="s">
        <v>574</v>
      </c>
      <c r="H224" s="1">
        <v>1</v>
      </c>
      <c r="I224" s="9" t="s">
        <v>1019</v>
      </c>
      <c r="J224" s="2" t="s">
        <v>1020</v>
      </c>
      <c r="K224" s="1"/>
    </row>
    <row r="225" spans="1:11" ht="63">
      <c r="A225" s="1">
        <f t="shared" si="4"/>
        <v>224</v>
      </c>
      <c r="B225" s="1">
        <v>2025</v>
      </c>
      <c r="C225" s="1">
        <v>2</v>
      </c>
      <c r="D225" s="1" t="s">
        <v>198</v>
      </c>
      <c r="E225" s="1" t="str">
        <f>IF(D225="ストーリー", INT((COUNTIF($D$2:D225, "ストーリー")-1)/3) + 1, "NA")</f>
        <v>NA</v>
      </c>
      <c r="F225" s="1" t="s">
        <v>446</v>
      </c>
      <c r="G225" s="8" t="s">
        <v>1189</v>
      </c>
      <c r="H225" s="1">
        <v>3</v>
      </c>
      <c r="I225" s="9" t="s">
        <v>1021</v>
      </c>
      <c r="J225" s="2" t="s">
        <v>1022</v>
      </c>
      <c r="K225" s="1"/>
    </row>
    <row r="226" spans="1:11" ht="63">
      <c r="A226" s="1">
        <f t="shared" si="4"/>
        <v>225</v>
      </c>
      <c r="B226" s="1">
        <v>2025</v>
      </c>
      <c r="C226" s="1">
        <v>2</v>
      </c>
      <c r="D226" s="1" t="s">
        <v>198</v>
      </c>
      <c r="E226" s="1" t="str">
        <f>IF(D226="ストーリー", INT((COUNTIF($D$2:D226, "ストーリー")-1)/3) + 1, "NA")</f>
        <v>NA</v>
      </c>
      <c r="F226" s="1" t="s">
        <v>446</v>
      </c>
      <c r="G226" s="8" t="s">
        <v>575</v>
      </c>
      <c r="H226" s="1">
        <v>4</v>
      </c>
      <c r="I226" s="9" t="s">
        <v>1024</v>
      </c>
      <c r="J226" s="2" t="s">
        <v>1023</v>
      </c>
      <c r="K226" s="1"/>
    </row>
    <row r="227" spans="1:11" ht="63">
      <c r="A227" s="1">
        <f t="shared" si="4"/>
        <v>226</v>
      </c>
      <c r="B227" s="1">
        <v>2025</v>
      </c>
      <c r="C227" s="1">
        <v>2</v>
      </c>
      <c r="D227" s="1" t="s">
        <v>198</v>
      </c>
      <c r="E227" s="1" t="str">
        <f>IF(D227="ストーリー", INT((COUNTIF($D$2:D227, "ストーリー")-1)/3) + 1, "NA")</f>
        <v>NA</v>
      </c>
      <c r="F227" s="1" t="s">
        <v>446</v>
      </c>
      <c r="G227" s="8" t="s">
        <v>844</v>
      </c>
      <c r="H227" s="1">
        <v>2</v>
      </c>
      <c r="I227" s="1" t="s">
        <v>1025</v>
      </c>
      <c r="J227" s="2" t="s">
        <v>1026</v>
      </c>
      <c r="K227" s="1"/>
    </row>
    <row r="228" spans="1:11" ht="63">
      <c r="A228" s="1">
        <f t="shared" si="4"/>
        <v>227</v>
      </c>
      <c r="B228" s="1">
        <v>2025</v>
      </c>
      <c r="C228" s="1">
        <v>2</v>
      </c>
      <c r="D228" s="1" t="s">
        <v>198</v>
      </c>
      <c r="E228" s="1" t="str">
        <f>IF(D228="ストーリー", INT((COUNTIF($D$2:D228, "ストーリー")-1)/3) + 1, "NA")</f>
        <v>NA</v>
      </c>
      <c r="F228" s="1" t="s">
        <v>446</v>
      </c>
      <c r="G228" s="8" t="s">
        <v>845</v>
      </c>
      <c r="H228" s="1">
        <v>3</v>
      </c>
      <c r="I228" s="1" t="s">
        <v>1028</v>
      </c>
      <c r="J228" s="2" t="s">
        <v>1027</v>
      </c>
      <c r="K228" s="1"/>
    </row>
    <row r="229" spans="1:11" ht="63">
      <c r="A229" s="1">
        <f t="shared" si="4"/>
        <v>228</v>
      </c>
      <c r="B229" s="1">
        <v>2025</v>
      </c>
      <c r="C229" s="1" t="s">
        <v>29</v>
      </c>
      <c r="D229" s="1" t="s">
        <v>198</v>
      </c>
      <c r="E229" s="1" t="str">
        <f>IF(D229="ストーリー", INT((COUNTIF($D$2:D229, "ストーリー")-1)/3) + 1, "NA")</f>
        <v>NA</v>
      </c>
      <c r="F229" s="1" t="s">
        <v>446</v>
      </c>
      <c r="G229" s="8" t="s">
        <v>576</v>
      </c>
      <c r="H229" s="1">
        <v>4</v>
      </c>
      <c r="I229" s="9" t="s">
        <v>1029</v>
      </c>
      <c r="J229" s="2" t="s">
        <v>1030</v>
      </c>
      <c r="K229" s="1"/>
    </row>
    <row r="230" spans="1:11" ht="63">
      <c r="A230" s="1">
        <f t="shared" si="4"/>
        <v>229</v>
      </c>
      <c r="B230" s="1">
        <v>2025</v>
      </c>
      <c r="C230" s="1" t="s">
        <v>29</v>
      </c>
      <c r="D230" s="1" t="s">
        <v>198</v>
      </c>
      <c r="E230" s="1" t="str">
        <f>IF(D230="ストーリー", INT((COUNTIF($D$2:D230, "ストーリー")-1)/3) + 1, "NA")</f>
        <v>NA</v>
      </c>
      <c r="F230" s="1" t="s">
        <v>446</v>
      </c>
      <c r="G230" s="8" t="s">
        <v>577</v>
      </c>
      <c r="H230" s="1">
        <v>2</v>
      </c>
      <c r="I230" s="9" t="s">
        <v>1031</v>
      </c>
      <c r="J230" s="2" t="s">
        <v>1032</v>
      </c>
      <c r="K230" s="1"/>
    </row>
    <row r="231" spans="1:11" ht="63">
      <c r="A231" s="1">
        <f t="shared" si="4"/>
        <v>230</v>
      </c>
      <c r="B231" s="1">
        <v>2025</v>
      </c>
      <c r="C231" s="1" t="s">
        <v>29</v>
      </c>
      <c r="D231" s="1" t="s">
        <v>198</v>
      </c>
      <c r="E231" s="1" t="str">
        <f>IF(D231="ストーリー", INT((COUNTIF($D$2:D231, "ストーリー")-1)/3) + 1, "NA")</f>
        <v>NA</v>
      </c>
      <c r="F231" s="1" t="s">
        <v>446</v>
      </c>
      <c r="G231" s="8" t="s">
        <v>1035</v>
      </c>
      <c r="H231" s="1">
        <v>1</v>
      </c>
      <c r="I231" s="9" t="s">
        <v>1034</v>
      </c>
      <c r="J231" s="2" t="s">
        <v>1033</v>
      </c>
      <c r="K231" s="1"/>
    </row>
    <row r="232" spans="1:11" ht="63">
      <c r="A232" s="1">
        <f t="shared" si="4"/>
        <v>231</v>
      </c>
      <c r="B232" s="1">
        <v>2025</v>
      </c>
      <c r="C232" s="1" t="s">
        <v>29</v>
      </c>
      <c r="D232" s="1" t="s">
        <v>198</v>
      </c>
      <c r="E232" s="1" t="str">
        <f>IF(D232="ストーリー", INT((COUNTIF($D$2:D232, "ストーリー")-1)/3) + 1, "NA")</f>
        <v>NA</v>
      </c>
      <c r="F232" s="1" t="s">
        <v>446</v>
      </c>
      <c r="G232" s="8" t="s">
        <v>578</v>
      </c>
      <c r="H232" s="1">
        <v>2</v>
      </c>
      <c r="I232" s="9" t="s">
        <v>1037</v>
      </c>
      <c r="J232" s="2" t="s">
        <v>1036</v>
      </c>
      <c r="K232" s="1"/>
    </row>
    <row r="233" spans="1:11" ht="63">
      <c r="A233" s="1">
        <f t="shared" si="4"/>
        <v>232</v>
      </c>
      <c r="B233" s="1">
        <v>2025</v>
      </c>
      <c r="C233" s="1" t="s">
        <v>29</v>
      </c>
      <c r="D233" s="1" t="s">
        <v>198</v>
      </c>
      <c r="E233" s="1" t="str">
        <f>IF(D233="ストーリー", INT((COUNTIF($D$2:D233, "ストーリー")-1)/3) + 1, "NA")</f>
        <v>NA</v>
      </c>
      <c r="F233" s="1" t="s">
        <v>446</v>
      </c>
      <c r="G233" s="8" t="s">
        <v>1040</v>
      </c>
      <c r="H233" s="1">
        <v>3</v>
      </c>
      <c r="I233" s="9" t="s">
        <v>1038</v>
      </c>
      <c r="J233" s="2" t="s">
        <v>1039</v>
      </c>
      <c r="K233" s="1"/>
    </row>
    <row r="234" spans="1:11" ht="63">
      <c r="A234" s="1">
        <f t="shared" si="4"/>
        <v>233</v>
      </c>
      <c r="B234" s="1">
        <v>2025</v>
      </c>
      <c r="C234" s="1" t="s">
        <v>29</v>
      </c>
      <c r="D234" s="1" t="s">
        <v>198</v>
      </c>
      <c r="E234" s="1" t="str">
        <f>IF(D234="ストーリー", INT((COUNTIF($D$2:D234, "ストーリー")-1)/3) + 1, "NA")</f>
        <v>NA</v>
      </c>
      <c r="F234" s="1" t="s">
        <v>446</v>
      </c>
      <c r="G234" s="8" t="s">
        <v>579</v>
      </c>
      <c r="H234" s="1">
        <v>4</v>
      </c>
      <c r="I234" s="9" t="s">
        <v>1042</v>
      </c>
      <c r="J234" s="2" t="s">
        <v>1041</v>
      </c>
      <c r="K234" s="1"/>
    </row>
    <row r="235" spans="1:11" ht="63">
      <c r="A235" s="1">
        <f t="shared" si="4"/>
        <v>234</v>
      </c>
      <c r="B235" s="1">
        <v>2025</v>
      </c>
      <c r="C235" s="1" t="s">
        <v>29</v>
      </c>
      <c r="D235" s="1" t="s">
        <v>198</v>
      </c>
      <c r="E235" s="1" t="str">
        <f>IF(D235="ストーリー", INT((COUNTIF($D$2:D235, "ストーリー")-1)/3) + 1, "NA")</f>
        <v>NA</v>
      </c>
      <c r="F235" s="1" t="s">
        <v>446</v>
      </c>
      <c r="G235" s="8" t="s">
        <v>580</v>
      </c>
      <c r="H235" s="1">
        <v>1</v>
      </c>
      <c r="I235" s="9" t="s">
        <v>1044</v>
      </c>
      <c r="J235" s="2" t="s">
        <v>1043</v>
      </c>
      <c r="K235" s="1"/>
    </row>
    <row r="236" spans="1:11" ht="63">
      <c r="A236" s="1">
        <f t="shared" si="4"/>
        <v>235</v>
      </c>
      <c r="B236" s="1">
        <v>2025</v>
      </c>
      <c r="C236" s="1" t="s">
        <v>29</v>
      </c>
      <c r="D236" s="1" t="s">
        <v>198</v>
      </c>
      <c r="E236" s="1" t="str">
        <f>IF(D236="ストーリー", INT((COUNTIF($D$2:D236, "ストーリー")-1)/3) + 1, "NA")</f>
        <v>NA</v>
      </c>
      <c r="F236" s="1" t="s">
        <v>446</v>
      </c>
      <c r="G236" s="2" t="s">
        <v>846</v>
      </c>
      <c r="H236" s="1">
        <v>3</v>
      </c>
      <c r="I236" s="9" t="s">
        <v>1045</v>
      </c>
      <c r="J236" s="2" t="s">
        <v>1046</v>
      </c>
      <c r="K236" s="1"/>
    </row>
    <row r="237" spans="1:11" ht="63">
      <c r="A237" s="1">
        <f t="shared" si="4"/>
        <v>236</v>
      </c>
      <c r="B237" s="1">
        <v>2025</v>
      </c>
      <c r="C237" s="1">
        <v>5</v>
      </c>
      <c r="D237" s="1" t="s">
        <v>204</v>
      </c>
      <c r="E237" s="1" t="str">
        <f>IF(D237="ストーリー", INT((COUNTIF($D$2:D237, "ストーリー")-1)/3) + 1, "NA")</f>
        <v>NA</v>
      </c>
      <c r="F237" s="1" t="s">
        <v>581</v>
      </c>
      <c r="G237" s="2" t="s">
        <v>607</v>
      </c>
      <c r="H237" s="1">
        <v>4</v>
      </c>
      <c r="I237" s="1" t="s">
        <v>1073</v>
      </c>
      <c r="J237" s="14" t="s">
        <v>608</v>
      </c>
      <c r="K237" s="1"/>
    </row>
    <row r="238" spans="1:11" ht="63">
      <c r="A238" s="1">
        <f t="shared" si="4"/>
        <v>237</v>
      </c>
      <c r="B238" s="1">
        <v>2025</v>
      </c>
      <c r="C238" s="1">
        <v>5</v>
      </c>
      <c r="D238" s="1" t="s">
        <v>204</v>
      </c>
      <c r="E238" s="1" t="str">
        <f>IF(D238="ストーリー", INT((COUNTIF($D$2:D238, "ストーリー")-1)/3) + 1, "NA")</f>
        <v>NA</v>
      </c>
      <c r="F238" s="1" t="s">
        <v>582</v>
      </c>
      <c r="G238" s="2" t="s">
        <v>599</v>
      </c>
      <c r="H238" s="1">
        <v>4</v>
      </c>
      <c r="I238" s="1" t="s">
        <v>1074</v>
      </c>
      <c r="J238" s="14" t="s">
        <v>583</v>
      </c>
      <c r="K238" s="1"/>
    </row>
    <row r="239" spans="1:11" ht="63">
      <c r="A239" s="1">
        <f t="shared" si="4"/>
        <v>238</v>
      </c>
      <c r="B239" s="1">
        <v>2025</v>
      </c>
      <c r="C239" s="1">
        <v>5</v>
      </c>
      <c r="D239" s="1" t="s">
        <v>204</v>
      </c>
      <c r="E239" s="1" t="str">
        <f>IF(D239="ストーリー", INT((COUNTIF($D$2:D239, "ストーリー")-1)/3) + 1, "NA")</f>
        <v>NA</v>
      </c>
      <c r="F239" s="1" t="s">
        <v>584</v>
      </c>
      <c r="G239" s="2" t="s">
        <v>609</v>
      </c>
      <c r="H239" s="1">
        <v>2</v>
      </c>
      <c r="I239" s="1" t="s">
        <v>1075</v>
      </c>
      <c r="J239" s="14" t="s">
        <v>610</v>
      </c>
      <c r="K239" s="1"/>
    </row>
    <row r="240" spans="1:11" ht="63">
      <c r="A240" s="1">
        <f t="shared" si="4"/>
        <v>239</v>
      </c>
      <c r="B240" s="1">
        <v>2025</v>
      </c>
      <c r="C240" s="1">
        <v>5</v>
      </c>
      <c r="D240" s="1" t="s">
        <v>204</v>
      </c>
      <c r="E240" s="1" t="str">
        <f>IF(D240="ストーリー", INT((COUNTIF($D$2:D240, "ストーリー")-1)/3) + 1, "NA")</f>
        <v>NA</v>
      </c>
      <c r="F240" s="1" t="s">
        <v>585</v>
      </c>
      <c r="G240" s="2" t="s">
        <v>600</v>
      </c>
      <c r="H240" s="1">
        <v>4</v>
      </c>
      <c r="I240" s="1" t="s">
        <v>1076</v>
      </c>
      <c r="J240" s="14" t="s">
        <v>586</v>
      </c>
      <c r="K240" s="1"/>
    </row>
    <row r="241" spans="1:11" ht="63">
      <c r="A241" s="1">
        <f t="shared" si="4"/>
        <v>240</v>
      </c>
      <c r="B241" s="1">
        <v>2025</v>
      </c>
      <c r="C241" s="1">
        <v>5</v>
      </c>
      <c r="D241" s="1" t="s">
        <v>204</v>
      </c>
      <c r="E241" s="1" t="str">
        <f>IF(D241="ストーリー", INT((COUNTIF($D$2:D241, "ストーリー")-1)/3) + 1, "NA")</f>
        <v>NA</v>
      </c>
      <c r="F241" s="1" t="s">
        <v>587</v>
      </c>
      <c r="G241" s="2" t="s">
        <v>601</v>
      </c>
      <c r="H241" s="1">
        <v>3</v>
      </c>
      <c r="I241" s="1" t="s">
        <v>1077</v>
      </c>
      <c r="J241" s="14" t="s">
        <v>588</v>
      </c>
      <c r="K241" s="1"/>
    </row>
    <row r="242" spans="1:11" ht="63">
      <c r="A242" s="1">
        <f t="shared" si="4"/>
        <v>241</v>
      </c>
      <c r="B242" s="1">
        <v>2025</v>
      </c>
      <c r="C242" s="1">
        <v>5</v>
      </c>
      <c r="D242" s="1" t="s">
        <v>204</v>
      </c>
      <c r="E242" s="1" t="str">
        <f>IF(D242="ストーリー", INT((COUNTIF($D$2:D242, "ストーリー")-1)/3) + 1, "NA")</f>
        <v>NA</v>
      </c>
      <c r="F242" s="1" t="s">
        <v>589</v>
      </c>
      <c r="G242" s="2" t="s">
        <v>602</v>
      </c>
      <c r="H242" s="1">
        <v>1</v>
      </c>
      <c r="I242" s="1" t="s">
        <v>1078</v>
      </c>
      <c r="J242" s="14" t="s">
        <v>590</v>
      </c>
      <c r="K242" s="1"/>
    </row>
    <row r="243" spans="1:11" ht="63">
      <c r="A243" s="1">
        <f t="shared" si="4"/>
        <v>242</v>
      </c>
      <c r="B243" s="1">
        <v>2025</v>
      </c>
      <c r="C243" s="1">
        <v>5</v>
      </c>
      <c r="D243" s="1" t="s">
        <v>204</v>
      </c>
      <c r="E243" s="1" t="str">
        <f>IF(D243="ストーリー", INT((COUNTIF($D$2:D243, "ストーリー")-1)/3) + 1, "NA")</f>
        <v>NA</v>
      </c>
      <c r="F243" s="1" t="s">
        <v>591</v>
      </c>
      <c r="G243" s="2" t="s">
        <v>603</v>
      </c>
      <c r="H243" s="1">
        <v>1</v>
      </c>
      <c r="I243" s="1" t="s">
        <v>1079</v>
      </c>
      <c r="J243" s="14" t="s">
        <v>592</v>
      </c>
      <c r="K243" s="1"/>
    </row>
    <row r="244" spans="1:11" ht="63">
      <c r="A244" s="1">
        <f t="shared" si="4"/>
        <v>243</v>
      </c>
      <c r="B244" s="1">
        <v>2025</v>
      </c>
      <c r="C244" s="1">
        <v>5</v>
      </c>
      <c r="D244" s="1" t="s">
        <v>204</v>
      </c>
      <c r="E244" s="1" t="str">
        <f>IF(D244="ストーリー", INT((COUNTIF($D$2:D244, "ストーリー")-1)/3) + 1, "NA")</f>
        <v>NA</v>
      </c>
      <c r="F244" s="1" t="s">
        <v>593</v>
      </c>
      <c r="G244" s="2" t="s">
        <v>604</v>
      </c>
      <c r="H244" s="1">
        <v>3</v>
      </c>
      <c r="I244" s="1" t="s">
        <v>1080</v>
      </c>
      <c r="J244" s="14" t="s">
        <v>594</v>
      </c>
      <c r="K244" s="1"/>
    </row>
    <row r="245" spans="1:11" ht="63">
      <c r="A245" s="1">
        <f t="shared" si="4"/>
        <v>244</v>
      </c>
      <c r="B245" s="1">
        <v>2025</v>
      </c>
      <c r="C245" s="1">
        <v>5</v>
      </c>
      <c r="D245" s="1" t="s">
        <v>204</v>
      </c>
      <c r="E245" s="1" t="str">
        <f>IF(D245="ストーリー", INT((COUNTIF($D$2:D245, "ストーリー")-1)/3) + 1, "NA")</f>
        <v>NA</v>
      </c>
      <c r="F245" s="1" t="s">
        <v>595</v>
      </c>
      <c r="G245" s="2" t="s">
        <v>605</v>
      </c>
      <c r="H245" s="1">
        <v>4</v>
      </c>
      <c r="I245" s="1" t="s">
        <v>1081</v>
      </c>
      <c r="J245" s="14" t="s">
        <v>596</v>
      </c>
      <c r="K245" s="1"/>
    </row>
    <row r="246" spans="1:11" ht="63">
      <c r="A246" s="1">
        <f t="shared" si="4"/>
        <v>245</v>
      </c>
      <c r="B246" s="1">
        <v>2025</v>
      </c>
      <c r="C246" s="1">
        <v>5</v>
      </c>
      <c r="D246" s="1" t="s">
        <v>204</v>
      </c>
      <c r="E246" s="1" t="str">
        <f>IF(D246="ストーリー", INT((COUNTIF($D$2:D246, "ストーリー")-1)/3) + 1, "NA")</f>
        <v>NA</v>
      </c>
      <c r="F246" s="1" t="s">
        <v>597</v>
      </c>
      <c r="G246" s="2" t="s">
        <v>606</v>
      </c>
      <c r="H246" s="1">
        <v>4</v>
      </c>
      <c r="I246" s="1" t="s">
        <v>1082</v>
      </c>
      <c r="J246" s="14" t="s">
        <v>598</v>
      </c>
      <c r="K246" s="1"/>
    </row>
    <row r="247" spans="1:11" ht="63">
      <c r="A247" s="1">
        <f t="shared" si="4"/>
        <v>246</v>
      </c>
      <c r="B247" s="1">
        <v>2025</v>
      </c>
      <c r="C247" s="1">
        <v>4</v>
      </c>
      <c r="D247" s="1" t="s">
        <v>204</v>
      </c>
      <c r="E247" s="1" t="str">
        <f>IF(D247="ストーリー", INT((COUNTIF($D$2:D247, "ストーリー")-1)/3) + 1, "NA")</f>
        <v>NA</v>
      </c>
      <c r="F247" s="1" t="s">
        <v>611</v>
      </c>
      <c r="G247" s="2" t="s">
        <v>637</v>
      </c>
      <c r="H247" s="1">
        <v>3</v>
      </c>
      <c r="I247" s="1" t="s">
        <v>1083</v>
      </c>
      <c r="J247" s="14" t="s">
        <v>1071</v>
      </c>
      <c r="K247" s="1"/>
    </row>
    <row r="248" spans="1:11" ht="63">
      <c r="A248" s="1">
        <f t="shared" si="4"/>
        <v>247</v>
      </c>
      <c r="B248" s="1">
        <v>2025</v>
      </c>
      <c r="C248" s="1">
        <v>4</v>
      </c>
      <c r="D248" s="1" t="s">
        <v>204</v>
      </c>
      <c r="E248" s="1" t="str">
        <f>IF(D248="ストーリー", INT((COUNTIF($D$2:D248, "ストーリー")-1)/3) + 1, "NA")</f>
        <v>NA</v>
      </c>
      <c r="F248" s="1" t="s">
        <v>612</v>
      </c>
      <c r="G248" s="2" t="s">
        <v>638</v>
      </c>
      <c r="H248" s="1">
        <v>4</v>
      </c>
      <c r="I248" s="1" t="s">
        <v>1084</v>
      </c>
      <c r="J248" s="14" t="s">
        <v>1072</v>
      </c>
      <c r="K248" s="1"/>
    </row>
    <row r="249" spans="1:11" ht="63">
      <c r="A249" s="1">
        <f t="shared" si="4"/>
        <v>248</v>
      </c>
      <c r="B249" s="1">
        <v>2025</v>
      </c>
      <c r="C249" s="1">
        <v>4</v>
      </c>
      <c r="D249" s="1" t="s">
        <v>204</v>
      </c>
      <c r="E249" s="1" t="str">
        <f>IF(D249="ストーリー", INT((COUNTIF($D$2:D249, "ストーリー")-1)/3) + 1, "NA")</f>
        <v>NA</v>
      </c>
      <c r="F249" s="1" t="s">
        <v>622</v>
      </c>
      <c r="G249" s="2" t="s">
        <v>639</v>
      </c>
      <c r="H249" s="1">
        <v>2</v>
      </c>
      <c r="I249" s="1" t="s">
        <v>1085</v>
      </c>
      <c r="J249" s="14" t="s">
        <v>623</v>
      </c>
      <c r="K249" s="1"/>
    </row>
    <row r="250" spans="1:11" ht="63">
      <c r="A250" s="1">
        <f t="shared" si="4"/>
        <v>249</v>
      </c>
      <c r="B250" s="1">
        <v>2025</v>
      </c>
      <c r="C250" s="1">
        <v>4</v>
      </c>
      <c r="D250" s="1" t="s">
        <v>204</v>
      </c>
      <c r="E250" s="1" t="str">
        <f>IF(D250="ストーリー", INT((COUNTIF($D$2:D250, "ストーリー")-1)/3) + 1, "NA")</f>
        <v>NA</v>
      </c>
      <c r="F250" s="1" t="s">
        <v>613</v>
      </c>
      <c r="G250" s="2" t="s">
        <v>640</v>
      </c>
      <c r="H250" s="1">
        <v>3</v>
      </c>
      <c r="I250" s="1" t="s">
        <v>1086</v>
      </c>
      <c r="J250" s="14" t="s">
        <v>614</v>
      </c>
      <c r="K250" s="1"/>
    </row>
    <row r="251" spans="1:11" ht="63">
      <c r="A251" s="1">
        <f t="shared" si="4"/>
        <v>250</v>
      </c>
      <c r="B251" s="1">
        <v>2025</v>
      </c>
      <c r="C251" s="1">
        <v>4</v>
      </c>
      <c r="D251" s="1" t="s">
        <v>204</v>
      </c>
      <c r="E251" s="1" t="str">
        <f>IF(D251="ストーリー", INT((COUNTIF($D$2:D251, "ストーリー")-1)/3) + 1, "NA")</f>
        <v>NA</v>
      </c>
      <c r="F251" s="1" t="s">
        <v>1068</v>
      </c>
      <c r="G251" s="2" t="s">
        <v>641</v>
      </c>
      <c r="H251" s="1">
        <v>2</v>
      </c>
      <c r="I251" s="1" t="s">
        <v>1087</v>
      </c>
      <c r="J251" s="14" t="s">
        <v>1069</v>
      </c>
      <c r="K251" s="1"/>
    </row>
    <row r="252" spans="1:11" ht="63">
      <c r="A252" s="1">
        <f t="shared" si="4"/>
        <v>251</v>
      </c>
      <c r="B252" s="1">
        <v>2025</v>
      </c>
      <c r="C252" s="1">
        <v>4</v>
      </c>
      <c r="D252" s="1" t="s">
        <v>204</v>
      </c>
      <c r="E252" s="1" t="str">
        <f>IF(D252="ストーリー", INT((COUNTIF($D$2:D252, "ストーリー")-1)/3) + 1, "NA")</f>
        <v>NA</v>
      </c>
      <c r="F252" s="1" t="s">
        <v>615</v>
      </c>
      <c r="G252" s="2" t="s">
        <v>1070</v>
      </c>
      <c r="H252" s="1">
        <v>1</v>
      </c>
      <c r="I252" s="1" t="s">
        <v>1088</v>
      </c>
      <c r="J252" s="14" t="s">
        <v>616</v>
      </c>
      <c r="K252" s="1"/>
    </row>
    <row r="253" spans="1:11" ht="63">
      <c r="A253" s="1">
        <f t="shared" si="4"/>
        <v>252</v>
      </c>
      <c r="B253" s="1">
        <v>2025</v>
      </c>
      <c r="C253" s="1">
        <v>4</v>
      </c>
      <c r="D253" s="1" t="s">
        <v>204</v>
      </c>
      <c r="E253" s="1" t="str">
        <f>IF(D253="ストーリー", INT((COUNTIF($D$2:D253, "ストーリー")-1)/3) + 1, "NA")</f>
        <v>NA</v>
      </c>
      <c r="F253" s="1" t="s">
        <v>617</v>
      </c>
      <c r="G253" s="2" t="s">
        <v>642</v>
      </c>
      <c r="H253" s="1">
        <v>3</v>
      </c>
      <c r="I253" s="1" t="s">
        <v>1090</v>
      </c>
      <c r="J253" s="14" t="s">
        <v>1089</v>
      </c>
      <c r="K253" s="1"/>
    </row>
    <row r="254" spans="1:11" ht="63">
      <c r="A254" s="1">
        <f t="shared" si="4"/>
        <v>253</v>
      </c>
      <c r="B254" s="1">
        <v>2025</v>
      </c>
      <c r="C254" s="1">
        <v>4</v>
      </c>
      <c r="D254" s="1" t="s">
        <v>204</v>
      </c>
      <c r="E254" s="1" t="str">
        <f>IF(D254="ストーリー", INT((COUNTIF($D$2:D254, "ストーリー")-1)/3) + 1, "NA")</f>
        <v>NA</v>
      </c>
      <c r="F254" s="1" t="s">
        <v>737</v>
      </c>
      <c r="G254" s="2" t="s">
        <v>643</v>
      </c>
      <c r="H254" s="1">
        <v>4</v>
      </c>
      <c r="I254" s="1" t="s">
        <v>1091</v>
      </c>
      <c r="J254" s="14" t="s">
        <v>738</v>
      </c>
      <c r="K254" s="1"/>
    </row>
    <row r="255" spans="1:11" ht="63">
      <c r="A255" s="1">
        <f t="shared" si="4"/>
        <v>254</v>
      </c>
      <c r="B255" s="1">
        <v>2025</v>
      </c>
      <c r="C255" s="1">
        <v>4</v>
      </c>
      <c r="D255" s="1" t="s">
        <v>204</v>
      </c>
      <c r="E255" s="1" t="str">
        <f>IF(D255="ストーリー", INT((COUNTIF($D$2:D255, "ストーリー")-1)/3) + 1, "NA")</f>
        <v>NA</v>
      </c>
      <c r="F255" s="1" t="s">
        <v>618</v>
      </c>
      <c r="G255" s="2" t="s">
        <v>644</v>
      </c>
      <c r="H255" s="1">
        <v>2</v>
      </c>
      <c r="I255" s="1" t="s">
        <v>1092</v>
      </c>
      <c r="J255" s="14" t="s">
        <v>619</v>
      </c>
      <c r="K255" s="1"/>
    </row>
    <row r="256" spans="1:11" ht="63">
      <c r="A256" s="1">
        <f t="shared" ref="A256:A305" si="5">ROW()-1</f>
        <v>255</v>
      </c>
      <c r="B256" s="1">
        <v>2025</v>
      </c>
      <c r="C256" s="1">
        <v>4</v>
      </c>
      <c r="D256" s="1" t="s">
        <v>204</v>
      </c>
      <c r="E256" s="1" t="str">
        <f>IF(D256="ストーリー", INT((COUNTIF($D$2:D256, "ストーリー")-1)/3) + 1, "NA")</f>
        <v>NA</v>
      </c>
      <c r="F256" s="1" t="s">
        <v>621</v>
      </c>
      <c r="G256" s="2" t="s">
        <v>645</v>
      </c>
      <c r="H256" s="1">
        <v>3</v>
      </c>
      <c r="I256" s="1" t="s">
        <v>1093</v>
      </c>
      <c r="J256" s="14" t="s">
        <v>620</v>
      </c>
      <c r="K256" s="1"/>
    </row>
    <row r="257" spans="1:11" ht="63">
      <c r="A257" s="1">
        <f t="shared" si="5"/>
        <v>256</v>
      </c>
      <c r="B257" s="1">
        <v>2025</v>
      </c>
      <c r="C257" s="1">
        <v>3</v>
      </c>
      <c r="D257" s="1" t="s">
        <v>204</v>
      </c>
      <c r="E257" s="1" t="str">
        <f>IF(D257="ストーリー", INT((COUNTIF($D$2:D257, "ストーリー")-1)/3) + 1, "NA")</f>
        <v>NA</v>
      </c>
      <c r="F257" s="1" t="s">
        <v>624</v>
      </c>
      <c r="G257" s="2" t="s">
        <v>646</v>
      </c>
      <c r="H257" s="1">
        <v>4</v>
      </c>
      <c r="I257" s="1" t="s">
        <v>1094</v>
      </c>
      <c r="J257" s="14" t="s">
        <v>625</v>
      </c>
      <c r="K257" s="1"/>
    </row>
    <row r="258" spans="1:11" ht="63">
      <c r="A258" s="1">
        <f t="shared" si="5"/>
        <v>257</v>
      </c>
      <c r="B258" s="1">
        <v>2025</v>
      </c>
      <c r="C258" s="1">
        <v>3</v>
      </c>
      <c r="D258" s="1" t="s">
        <v>204</v>
      </c>
      <c r="E258" s="1" t="str">
        <f>IF(D258="ストーリー", INT((COUNTIF($D$2:D258, "ストーリー")-1)/3) + 1, "NA")</f>
        <v>NA</v>
      </c>
      <c r="F258" s="1" t="s">
        <v>626</v>
      </c>
      <c r="G258" s="2" t="s">
        <v>647</v>
      </c>
      <c r="H258" s="1">
        <v>2</v>
      </c>
      <c r="I258" s="1" t="s">
        <v>1094</v>
      </c>
      <c r="J258" s="14" t="s">
        <v>625</v>
      </c>
      <c r="K258" s="1"/>
    </row>
    <row r="259" spans="1:11" ht="63">
      <c r="A259" s="1">
        <f t="shared" si="5"/>
        <v>258</v>
      </c>
      <c r="B259" s="1">
        <v>2025</v>
      </c>
      <c r="C259" s="1">
        <v>3</v>
      </c>
      <c r="D259" s="1" t="s">
        <v>204</v>
      </c>
      <c r="E259" s="1" t="str">
        <f>IF(D259="ストーリー", INT((COUNTIF($D$2:D259, "ストーリー")-1)/3) + 1, "NA")</f>
        <v>NA</v>
      </c>
      <c r="F259" s="1" t="s">
        <v>663</v>
      </c>
      <c r="G259" s="2" t="s">
        <v>648</v>
      </c>
      <c r="H259" s="1">
        <v>3</v>
      </c>
      <c r="I259" s="1" t="s">
        <v>1095</v>
      </c>
      <c r="J259" s="14" t="s">
        <v>627</v>
      </c>
      <c r="K259" s="1"/>
    </row>
    <row r="260" spans="1:11" ht="63">
      <c r="A260" s="1">
        <f t="shared" si="5"/>
        <v>259</v>
      </c>
      <c r="B260" s="1">
        <v>2025</v>
      </c>
      <c r="C260" s="1">
        <v>3</v>
      </c>
      <c r="D260" s="1" t="s">
        <v>204</v>
      </c>
      <c r="E260" s="1" t="str">
        <f>IF(D260="ストーリー", INT((COUNTIF($D$2:D260, "ストーリー")-1)/3) + 1, "NA")</f>
        <v>NA</v>
      </c>
      <c r="F260" s="1" t="s">
        <v>628</v>
      </c>
      <c r="G260" s="2" t="s">
        <v>649</v>
      </c>
      <c r="H260" s="1">
        <v>1</v>
      </c>
      <c r="I260" s="1" t="s">
        <v>1095</v>
      </c>
      <c r="J260" s="14" t="s">
        <v>1096</v>
      </c>
      <c r="K260" s="1"/>
    </row>
    <row r="261" spans="1:11" ht="63">
      <c r="A261" s="1">
        <f t="shared" si="5"/>
        <v>260</v>
      </c>
      <c r="B261" s="1">
        <v>2025</v>
      </c>
      <c r="C261" s="1">
        <v>3</v>
      </c>
      <c r="D261" s="1" t="s">
        <v>204</v>
      </c>
      <c r="E261" s="1" t="str">
        <f>IF(D261="ストーリー", INT((COUNTIF($D$2:D261, "ストーリー")-1)/3) + 1, "NA")</f>
        <v>NA</v>
      </c>
      <c r="F261" s="1" t="s">
        <v>629</v>
      </c>
      <c r="G261" s="2" t="s">
        <v>650</v>
      </c>
      <c r="H261" s="1">
        <v>3</v>
      </c>
      <c r="I261" s="1" t="s">
        <v>1097</v>
      </c>
      <c r="J261" s="14" t="s">
        <v>1067</v>
      </c>
      <c r="K261" s="1"/>
    </row>
    <row r="262" spans="1:11" ht="63">
      <c r="A262" s="1">
        <f t="shared" si="5"/>
        <v>261</v>
      </c>
      <c r="B262" s="1">
        <v>2025</v>
      </c>
      <c r="C262" s="1">
        <v>3</v>
      </c>
      <c r="D262" s="1" t="s">
        <v>204</v>
      </c>
      <c r="E262" s="1" t="str">
        <f>IF(D262="ストーリー", INT((COUNTIF($D$2:D262, "ストーリー")-1)/3) + 1, "NA")</f>
        <v>NA</v>
      </c>
      <c r="F262" s="1" t="s">
        <v>630</v>
      </c>
      <c r="G262" s="2" t="s">
        <v>651</v>
      </c>
      <c r="H262" s="1">
        <v>1</v>
      </c>
      <c r="I262" s="1" t="s">
        <v>1097</v>
      </c>
      <c r="J262" s="14" t="s">
        <v>1067</v>
      </c>
      <c r="K262" s="1"/>
    </row>
    <row r="263" spans="1:11" ht="63">
      <c r="A263" s="1">
        <f t="shared" si="5"/>
        <v>262</v>
      </c>
      <c r="B263" s="1">
        <v>2025</v>
      </c>
      <c r="C263" s="1">
        <v>3</v>
      </c>
      <c r="D263" s="1" t="s">
        <v>204</v>
      </c>
      <c r="E263" s="1" t="str">
        <f>IF(D263="ストーリー", INT((COUNTIF($D$2:D263, "ストーリー")-1)/3) + 1, "NA")</f>
        <v>NA</v>
      </c>
      <c r="F263" s="1" t="s">
        <v>631</v>
      </c>
      <c r="G263" s="2" t="s">
        <v>652</v>
      </c>
      <c r="H263" s="1">
        <v>3</v>
      </c>
      <c r="I263" s="1" t="s">
        <v>1098</v>
      </c>
      <c r="J263" s="14" t="s">
        <v>632</v>
      </c>
      <c r="K263" s="1"/>
    </row>
    <row r="264" spans="1:11" ht="63">
      <c r="A264" s="1">
        <f t="shared" si="5"/>
        <v>263</v>
      </c>
      <c r="B264" s="1">
        <v>2025</v>
      </c>
      <c r="C264" s="1">
        <v>3</v>
      </c>
      <c r="D264" s="1" t="s">
        <v>204</v>
      </c>
      <c r="E264" s="1" t="str">
        <f>IF(D264="ストーリー", INT((COUNTIF($D$2:D264, "ストーリー")-1)/3) + 1, "NA")</f>
        <v>NA</v>
      </c>
      <c r="F264" s="1" t="s">
        <v>659</v>
      </c>
      <c r="G264" s="2" t="s">
        <v>653</v>
      </c>
      <c r="H264" s="1">
        <v>3</v>
      </c>
      <c r="I264" s="1" t="s">
        <v>1099</v>
      </c>
      <c r="J264" s="14" t="s">
        <v>660</v>
      </c>
      <c r="K264" s="1"/>
    </row>
    <row r="265" spans="1:11" ht="63">
      <c r="A265" s="1">
        <f t="shared" si="5"/>
        <v>264</v>
      </c>
      <c r="B265" s="1">
        <v>2025</v>
      </c>
      <c r="C265" s="1">
        <v>3</v>
      </c>
      <c r="D265" s="1" t="s">
        <v>204</v>
      </c>
      <c r="E265" s="1" t="str">
        <f>IF(D265="ストーリー", INT((COUNTIF($D$2:D265, "ストーリー")-1)/3) + 1, "NA")</f>
        <v>NA</v>
      </c>
      <c r="F265" s="1" t="s">
        <v>662</v>
      </c>
      <c r="G265" s="2" t="s">
        <v>654</v>
      </c>
      <c r="H265" s="1">
        <v>3</v>
      </c>
      <c r="I265" s="1" t="s">
        <v>1099</v>
      </c>
      <c r="J265" s="14" t="s">
        <v>660</v>
      </c>
      <c r="K265" s="1"/>
    </row>
    <row r="266" spans="1:11" ht="63">
      <c r="A266" s="1">
        <f t="shared" si="5"/>
        <v>265</v>
      </c>
      <c r="B266" s="1">
        <v>2025</v>
      </c>
      <c r="C266" s="1">
        <v>3</v>
      </c>
      <c r="D266" s="1" t="s">
        <v>204</v>
      </c>
      <c r="E266" s="1" t="str">
        <f>IF(D266="ストーリー", INT((COUNTIF($D$2:D266, "ストーリー")-1)/3) + 1, "NA")</f>
        <v>NA</v>
      </c>
      <c r="F266" s="1" t="s">
        <v>633</v>
      </c>
      <c r="G266" s="2" t="s">
        <v>655</v>
      </c>
      <c r="H266" s="1">
        <v>3</v>
      </c>
      <c r="I266" s="1" t="s">
        <v>1100</v>
      </c>
      <c r="J266" s="14" t="s">
        <v>1101</v>
      </c>
      <c r="K266" s="1"/>
    </row>
    <row r="267" spans="1:11" ht="63">
      <c r="A267" s="1">
        <f t="shared" si="5"/>
        <v>266</v>
      </c>
      <c r="B267" s="1">
        <v>2025</v>
      </c>
      <c r="C267" s="1">
        <v>3</v>
      </c>
      <c r="D267" s="1" t="s">
        <v>204</v>
      </c>
      <c r="E267" s="1" t="str">
        <f>IF(D267="ストーリー", INT((COUNTIF($D$2:D267, "ストーリー")-1)/3) + 1, "NA")</f>
        <v>NA</v>
      </c>
      <c r="F267" s="1" t="s">
        <v>664</v>
      </c>
      <c r="G267" s="2" t="s">
        <v>656</v>
      </c>
      <c r="H267" s="1">
        <v>3</v>
      </c>
      <c r="I267" s="1" t="s">
        <v>1100</v>
      </c>
      <c r="J267" s="14" t="s">
        <v>634</v>
      </c>
      <c r="K267" s="1"/>
    </row>
    <row r="268" spans="1:11" ht="63">
      <c r="A268" s="1">
        <f t="shared" si="5"/>
        <v>267</v>
      </c>
      <c r="B268" s="1">
        <v>2025</v>
      </c>
      <c r="C268" s="1">
        <v>3</v>
      </c>
      <c r="D268" s="1" t="s">
        <v>204</v>
      </c>
      <c r="E268" s="1" t="str">
        <f>IF(D268="ストーリー", INT((COUNTIF($D$2:D268, "ストーリー")-1)/3) + 1, "NA")</f>
        <v>NA</v>
      </c>
      <c r="F268" s="1" t="s">
        <v>635</v>
      </c>
      <c r="G268" s="2" t="s">
        <v>657</v>
      </c>
      <c r="H268" s="1">
        <v>4</v>
      </c>
      <c r="I268" s="1" t="s">
        <v>1102</v>
      </c>
      <c r="J268" s="13" t="s">
        <v>661</v>
      </c>
      <c r="K268" s="1"/>
    </row>
    <row r="269" spans="1:11" ht="63">
      <c r="A269" s="1">
        <f t="shared" si="5"/>
        <v>268</v>
      </c>
      <c r="B269" s="1">
        <v>2025</v>
      </c>
      <c r="C269" s="1">
        <v>3</v>
      </c>
      <c r="D269" s="1" t="s">
        <v>204</v>
      </c>
      <c r="E269" s="1" t="str">
        <f>IF(D269="ストーリー", INT((COUNTIF($D$2:D269, "ストーリー")-1)/3) + 1, "NA")</f>
        <v>NA</v>
      </c>
      <c r="F269" s="1" t="s">
        <v>665</v>
      </c>
      <c r="G269" s="2" t="s">
        <v>658</v>
      </c>
      <c r="H269" s="1">
        <v>2</v>
      </c>
      <c r="I269" s="1" t="s">
        <v>1102</v>
      </c>
      <c r="J269" s="13" t="s">
        <v>636</v>
      </c>
      <c r="K269" s="1"/>
    </row>
    <row r="270" spans="1:11" s="18" customFormat="1" ht="63">
      <c r="A270" s="16">
        <f t="shared" si="5"/>
        <v>269</v>
      </c>
      <c r="B270" s="16">
        <v>2025</v>
      </c>
      <c r="C270" s="16">
        <v>2</v>
      </c>
      <c r="D270" s="16" t="s">
        <v>519</v>
      </c>
      <c r="E270" s="16">
        <f>IF(D270="ストーリー", INT((COUNTIF($D$2:D270, "ストーリー")-1)/3) + 1, "NA")</f>
        <v>10</v>
      </c>
      <c r="F270" s="16" t="s">
        <v>666</v>
      </c>
      <c r="G270" s="17" t="s">
        <v>1151</v>
      </c>
      <c r="H270" s="16">
        <v>1</v>
      </c>
      <c r="I270" s="16" t="s">
        <v>1154</v>
      </c>
      <c r="J270" s="17" t="s">
        <v>1149</v>
      </c>
      <c r="K270" s="16" t="s">
        <v>1145</v>
      </c>
    </row>
    <row r="271" spans="1:11" s="18" customFormat="1" ht="63">
      <c r="A271" s="16">
        <f t="shared" si="5"/>
        <v>270</v>
      </c>
      <c r="B271" s="16">
        <v>2025</v>
      </c>
      <c r="C271" s="16">
        <v>2</v>
      </c>
      <c r="D271" s="16" t="s">
        <v>519</v>
      </c>
      <c r="E271" s="16">
        <f>IF(D271="ストーリー", INT((COUNTIF($D$2:D271, "ストーリー")-1)/3) + 1, "NA")</f>
        <v>10</v>
      </c>
      <c r="F271" s="16" t="s">
        <v>667</v>
      </c>
      <c r="G271" s="17" t="s">
        <v>713</v>
      </c>
      <c r="H271" s="16">
        <v>2</v>
      </c>
      <c r="I271" s="16" t="s">
        <v>1154</v>
      </c>
      <c r="J271" s="17" t="s">
        <v>1149</v>
      </c>
      <c r="K271" s="16"/>
    </row>
    <row r="272" spans="1:11" s="18" customFormat="1" ht="63">
      <c r="A272" s="16">
        <f t="shared" si="5"/>
        <v>271</v>
      </c>
      <c r="B272" s="16">
        <v>2025</v>
      </c>
      <c r="C272" s="16">
        <v>2</v>
      </c>
      <c r="D272" s="16" t="s">
        <v>519</v>
      </c>
      <c r="E272" s="16">
        <f>IF(D272="ストーリー", INT((COUNTIF($D$2:D272, "ストーリー")-1)/3) + 1, "NA")</f>
        <v>10</v>
      </c>
      <c r="F272" s="16" t="s">
        <v>668</v>
      </c>
      <c r="G272" s="17" t="s">
        <v>1152</v>
      </c>
      <c r="H272" s="16">
        <v>3</v>
      </c>
      <c r="I272" s="16" t="s">
        <v>1154</v>
      </c>
      <c r="J272" s="17" t="s">
        <v>1149</v>
      </c>
      <c r="K272" s="16"/>
    </row>
    <row r="273" spans="1:11" s="18" customFormat="1" ht="63">
      <c r="A273" s="16">
        <f t="shared" si="5"/>
        <v>272</v>
      </c>
      <c r="B273" s="16">
        <v>2025</v>
      </c>
      <c r="C273" s="16">
        <v>2</v>
      </c>
      <c r="D273" s="16" t="s">
        <v>519</v>
      </c>
      <c r="E273" s="16">
        <f>IF(D273="ストーリー", INT((COUNTIF($D$2:D273, "ストーリー")-1)/3) + 1, "NA")</f>
        <v>11</v>
      </c>
      <c r="F273" s="16" t="s">
        <v>669</v>
      </c>
      <c r="G273" s="17" t="s">
        <v>714</v>
      </c>
      <c r="H273" s="16">
        <v>3</v>
      </c>
      <c r="I273" s="16" t="s">
        <v>1155</v>
      </c>
      <c r="J273" s="17" t="s">
        <v>670</v>
      </c>
      <c r="K273" s="16"/>
    </row>
    <row r="274" spans="1:11" s="18" customFormat="1" ht="63">
      <c r="A274" s="16">
        <f t="shared" si="5"/>
        <v>273</v>
      </c>
      <c r="B274" s="16">
        <v>2025</v>
      </c>
      <c r="C274" s="16">
        <v>2</v>
      </c>
      <c r="D274" s="16" t="s">
        <v>519</v>
      </c>
      <c r="E274" s="16">
        <f>IF(D274="ストーリー", INT((COUNTIF($D$2:D274, "ストーリー")-1)/3) + 1, "NA")</f>
        <v>11</v>
      </c>
      <c r="F274" s="16" t="s">
        <v>671</v>
      </c>
      <c r="G274" s="17" t="s">
        <v>715</v>
      </c>
      <c r="H274" s="16">
        <v>2</v>
      </c>
      <c r="I274" s="16" t="s">
        <v>1155</v>
      </c>
      <c r="J274" s="17" t="s">
        <v>670</v>
      </c>
      <c r="K274" s="16"/>
    </row>
    <row r="275" spans="1:11" s="18" customFormat="1" ht="63">
      <c r="A275" s="16">
        <f t="shared" si="5"/>
        <v>274</v>
      </c>
      <c r="B275" s="16">
        <v>2025</v>
      </c>
      <c r="C275" s="16">
        <v>2</v>
      </c>
      <c r="D275" s="16" t="s">
        <v>519</v>
      </c>
      <c r="E275" s="16">
        <f>IF(D275="ストーリー", INT((COUNTIF($D$2:D275, "ストーリー")-1)/3) + 1, "NA")</f>
        <v>11</v>
      </c>
      <c r="F275" s="16" t="s">
        <v>672</v>
      </c>
      <c r="G275" s="17" t="s">
        <v>716</v>
      </c>
      <c r="H275" s="16">
        <v>1</v>
      </c>
      <c r="I275" s="16" t="s">
        <v>1155</v>
      </c>
      <c r="J275" s="17" t="s">
        <v>670</v>
      </c>
      <c r="K275" s="16"/>
    </row>
    <row r="276" spans="1:11" s="18" customFormat="1" ht="78.75">
      <c r="A276" s="16">
        <f t="shared" si="5"/>
        <v>275</v>
      </c>
      <c r="B276" s="16">
        <v>2025</v>
      </c>
      <c r="C276" s="16">
        <v>2</v>
      </c>
      <c r="D276" s="16" t="s">
        <v>519</v>
      </c>
      <c r="E276" s="16">
        <f>IF(D276="ストーリー", INT((COUNTIF($D$2:D276, "ストーリー")-1)/3) + 1, "NA")</f>
        <v>12</v>
      </c>
      <c r="F276" s="16" t="s">
        <v>1153</v>
      </c>
      <c r="G276" s="17" t="s">
        <v>1188</v>
      </c>
      <c r="H276" s="16">
        <v>1</v>
      </c>
      <c r="I276" s="16" t="s">
        <v>1156</v>
      </c>
      <c r="J276" s="17" t="s">
        <v>673</v>
      </c>
      <c r="K276" s="16"/>
    </row>
    <row r="277" spans="1:11" s="18" customFormat="1" ht="78.75">
      <c r="A277" s="16">
        <f t="shared" si="5"/>
        <v>276</v>
      </c>
      <c r="B277" s="16">
        <v>2025</v>
      </c>
      <c r="C277" s="16">
        <v>2</v>
      </c>
      <c r="D277" s="16" t="s">
        <v>519</v>
      </c>
      <c r="E277" s="16">
        <f>IF(D277="ストーリー", INT((COUNTIF($D$2:D277, "ストーリー")-1)/3) + 1, "NA")</f>
        <v>12</v>
      </c>
      <c r="F277" s="16" t="s">
        <v>674</v>
      </c>
      <c r="G277" s="17" t="s">
        <v>717</v>
      </c>
      <c r="H277" s="16">
        <v>1</v>
      </c>
      <c r="I277" s="16" t="s">
        <v>1156</v>
      </c>
      <c r="J277" s="17" t="s">
        <v>673</v>
      </c>
      <c r="K277" s="16"/>
    </row>
    <row r="278" spans="1:11" s="18" customFormat="1" ht="78.75">
      <c r="A278" s="16">
        <f t="shared" si="5"/>
        <v>277</v>
      </c>
      <c r="B278" s="16">
        <v>2025</v>
      </c>
      <c r="C278" s="16">
        <v>2</v>
      </c>
      <c r="D278" s="16" t="s">
        <v>519</v>
      </c>
      <c r="E278" s="16">
        <f>IF(D278="ストーリー", INT((COUNTIF($D$2:D278, "ストーリー")-1)/3) + 1, "NA")</f>
        <v>12</v>
      </c>
      <c r="F278" s="16" t="s">
        <v>675</v>
      </c>
      <c r="G278" s="17" t="s">
        <v>1158</v>
      </c>
      <c r="H278" s="16">
        <v>4</v>
      </c>
      <c r="I278" s="16" t="s">
        <v>1156</v>
      </c>
      <c r="J278" s="17" t="s">
        <v>673</v>
      </c>
      <c r="K278" s="16"/>
    </row>
    <row r="279" spans="1:11" s="18" customFormat="1" ht="63">
      <c r="A279" s="16">
        <f t="shared" si="5"/>
        <v>278</v>
      </c>
      <c r="B279" s="16">
        <v>2025</v>
      </c>
      <c r="C279" s="16">
        <v>2</v>
      </c>
      <c r="D279" s="16" t="s">
        <v>519</v>
      </c>
      <c r="E279" s="16">
        <f>IF(D279="ストーリー", INT((COUNTIF($D$2:D279, "ストーリー")-1)/3) + 1, "NA")</f>
        <v>13</v>
      </c>
      <c r="F279" s="16" t="s">
        <v>676</v>
      </c>
      <c r="G279" s="17" t="s">
        <v>1157</v>
      </c>
      <c r="H279" s="16">
        <v>1</v>
      </c>
      <c r="I279" s="16" t="s">
        <v>1159</v>
      </c>
      <c r="J279" s="17" t="s">
        <v>677</v>
      </c>
      <c r="K279" s="16"/>
    </row>
    <row r="280" spans="1:11" s="18" customFormat="1" ht="63">
      <c r="A280" s="16">
        <f t="shared" si="5"/>
        <v>279</v>
      </c>
      <c r="B280" s="16">
        <v>2025</v>
      </c>
      <c r="C280" s="16">
        <v>2</v>
      </c>
      <c r="D280" s="16" t="s">
        <v>519</v>
      </c>
      <c r="E280" s="16">
        <f>IF(D280="ストーリー", INT((COUNTIF($D$2:D280, "ストーリー")-1)/3) + 1, "NA")</f>
        <v>13</v>
      </c>
      <c r="F280" s="16" t="s">
        <v>678</v>
      </c>
      <c r="G280" s="17" t="s">
        <v>1160</v>
      </c>
      <c r="H280" s="16">
        <v>1</v>
      </c>
      <c r="I280" s="16" t="s">
        <v>1159</v>
      </c>
      <c r="J280" s="17" t="s">
        <v>677</v>
      </c>
      <c r="K280" s="16"/>
    </row>
    <row r="281" spans="1:11" s="18" customFormat="1" ht="63">
      <c r="A281" s="16">
        <f t="shared" si="5"/>
        <v>280</v>
      </c>
      <c r="B281" s="16">
        <v>2025</v>
      </c>
      <c r="C281" s="16">
        <v>2</v>
      </c>
      <c r="D281" s="16" t="s">
        <v>519</v>
      </c>
      <c r="E281" s="16">
        <f>IF(D281="ストーリー", INT((COUNTIF($D$2:D281, "ストーリー")-1)/3) + 1, "NA")</f>
        <v>13</v>
      </c>
      <c r="F281" s="16" t="s">
        <v>679</v>
      </c>
      <c r="G281" s="17" t="s">
        <v>718</v>
      </c>
      <c r="H281" s="16">
        <v>1</v>
      </c>
      <c r="I281" s="16" t="s">
        <v>1159</v>
      </c>
      <c r="J281" s="17" t="s">
        <v>677</v>
      </c>
      <c r="K281" s="16"/>
    </row>
    <row r="282" spans="1:11" s="18" customFormat="1" ht="63">
      <c r="A282" s="16">
        <f t="shared" si="5"/>
        <v>281</v>
      </c>
      <c r="B282" s="16">
        <v>2025</v>
      </c>
      <c r="C282" s="16">
        <v>2</v>
      </c>
      <c r="D282" s="16" t="s">
        <v>519</v>
      </c>
      <c r="E282" s="16">
        <f>IF(D282="ストーリー", INT((COUNTIF($D$2:D282, "ストーリー")-1)/3) + 1, "NA")</f>
        <v>14</v>
      </c>
      <c r="F282" s="16" t="s">
        <v>680</v>
      </c>
      <c r="G282" s="17" t="s">
        <v>1150</v>
      </c>
      <c r="H282" s="16">
        <v>3</v>
      </c>
      <c r="I282" s="16" t="s">
        <v>1161</v>
      </c>
      <c r="J282" s="17" t="s">
        <v>681</v>
      </c>
      <c r="K282" s="16" t="s">
        <v>1146</v>
      </c>
    </row>
    <row r="283" spans="1:11" s="18" customFormat="1" ht="63">
      <c r="A283" s="16">
        <f t="shared" si="5"/>
        <v>282</v>
      </c>
      <c r="B283" s="16">
        <v>2025</v>
      </c>
      <c r="C283" s="16">
        <v>2</v>
      </c>
      <c r="D283" s="16" t="s">
        <v>519</v>
      </c>
      <c r="E283" s="16">
        <f>IF(D283="ストーリー", INT((COUNTIF($D$2:D283, "ストーリー")-1)/3) + 1, "NA")</f>
        <v>14</v>
      </c>
      <c r="F283" s="16" t="s">
        <v>682</v>
      </c>
      <c r="G283" s="17" t="s">
        <v>719</v>
      </c>
      <c r="H283" s="16">
        <v>1</v>
      </c>
      <c r="I283" s="16" t="s">
        <v>1161</v>
      </c>
      <c r="J283" s="17" t="s">
        <v>681</v>
      </c>
      <c r="K283" s="16"/>
    </row>
    <row r="284" spans="1:11" s="18" customFormat="1" ht="63">
      <c r="A284" s="16">
        <f t="shared" si="5"/>
        <v>283</v>
      </c>
      <c r="B284" s="16">
        <v>2025</v>
      </c>
      <c r="C284" s="16">
        <v>2</v>
      </c>
      <c r="D284" s="16" t="s">
        <v>519</v>
      </c>
      <c r="E284" s="16">
        <f>IF(D284="ストーリー", INT((COUNTIF($D$2:D284, "ストーリー")-1)/3) + 1, "NA")</f>
        <v>14</v>
      </c>
      <c r="F284" s="16" t="s">
        <v>683</v>
      </c>
      <c r="G284" s="17" t="s">
        <v>1162</v>
      </c>
      <c r="H284" s="16">
        <v>3</v>
      </c>
      <c r="I284" s="16" t="s">
        <v>1161</v>
      </c>
      <c r="J284" s="17" t="s">
        <v>681</v>
      </c>
      <c r="K284" s="16"/>
    </row>
    <row r="285" spans="1:11" s="18" customFormat="1" ht="63">
      <c r="A285" s="16">
        <f t="shared" si="5"/>
        <v>284</v>
      </c>
      <c r="B285" s="16">
        <v>2025</v>
      </c>
      <c r="C285" s="16">
        <v>2</v>
      </c>
      <c r="D285" s="16" t="s">
        <v>519</v>
      </c>
      <c r="E285" s="16">
        <f>IF(D285="ストーリー", INT((COUNTIF($D$2:D285, "ストーリー")-1)/3) + 1, "NA")</f>
        <v>15</v>
      </c>
      <c r="F285" s="16" t="s">
        <v>1164</v>
      </c>
      <c r="G285" s="17" t="s">
        <v>1165</v>
      </c>
      <c r="H285" s="16">
        <v>2</v>
      </c>
      <c r="I285" s="16" t="s">
        <v>1163</v>
      </c>
      <c r="J285" s="17" t="s">
        <v>684</v>
      </c>
      <c r="K285" s="16" t="s">
        <v>1147</v>
      </c>
    </row>
    <row r="286" spans="1:11" s="18" customFormat="1" ht="63">
      <c r="A286" s="16">
        <f t="shared" si="5"/>
        <v>285</v>
      </c>
      <c r="B286" s="16">
        <v>2025</v>
      </c>
      <c r="C286" s="16">
        <v>2</v>
      </c>
      <c r="D286" s="16" t="s">
        <v>519</v>
      </c>
      <c r="E286" s="16">
        <f>IF(D286="ストーリー", INT((COUNTIF($D$2:D286, "ストーリー")-1)/3) + 1, "NA")</f>
        <v>15</v>
      </c>
      <c r="F286" s="16" t="s">
        <v>685</v>
      </c>
      <c r="G286" s="17" t="s">
        <v>720</v>
      </c>
      <c r="H286" s="16">
        <v>1</v>
      </c>
      <c r="I286" s="16" t="s">
        <v>1163</v>
      </c>
      <c r="J286" s="17" t="s">
        <v>684</v>
      </c>
      <c r="K286" s="16"/>
    </row>
    <row r="287" spans="1:11" s="18" customFormat="1" ht="63">
      <c r="A287" s="16">
        <f t="shared" si="5"/>
        <v>286</v>
      </c>
      <c r="B287" s="16">
        <v>2025</v>
      </c>
      <c r="C287" s="16">
        <v>2</v>
      </c>
      <c r="D287" s="16" t="s">
        <v>519</v>
      </c>
      <c r="E287" s="16">
        <f>IF(D287="ストーリー", INT((COUNTIF($D$2:D287, "ストーリー")-1)/3) + 1, "NA")</f>
        <v>15</v>
      </c>
      <c r="F287" s="16" t="s">
        <v>686</v>
      </c>
      <c r="G287" s="17" t="s">
        <v>721</v>
      </c>
      <c r="H287" s="16">
        <v>1</v>
      </c>
      <c r="I287" s="16" t="s">
        <v>1163</v>
      </c>
      <c r="J287" s="17" t="s">
        <v>684</v>
      </c>
      <c r="K287" s="16"/>
    </row>
    <row r="288" spans="1:11" s="18" customFormat="1" ht="63">
      <c r="A288" s="16">
        <f t="shared" si="5"/>
        <v>287</v>
      </c>
      <c r="B288" s="16">
        <v>2025</v>
      </c>
      <c r="C288" s="16">
        <v>2</v>
      </c>
      <c r="D288" s="16" t="s">
        <v>519</v>
      </c>
      <c r="E288" s="16">
        <f>IF(D288="ストーリー", INT((COUNTIF($D$2:D288, "ストーリー")-1)/3) + 1, "NA")</f>
        <v>16</v>
      </c>
      <c r="F288" s="16" t="s">
        <v>687</v>
      </c>
      <c r="G288" s="17" t="s">
        <v>722</v>
      </c>
      <c r="H288" s="16">
        <v>1</v>
      </c>
      <c r="I288" s="16" t="s">
        <v>1166</v>
      </c>
      <c r="J288" s="17" t="s">
        <v>688</v>
      </c>
      <c r="K288" s="16"/>
    </row>
    <row r="289" spans="1:11" s="18" customFormat="1" ht="63">
      <c r="A289" s="16">
        <f t="shared" si="5"/>
        <v>288</v>
      </c>
      <c r="B289" s="16">
        <v>2025</v>
      </c>
      <c r="C289" s="16">
        <v>2</v>
      </c>
      <c r="D289" s="16" t="s">
        <v>519</v>
      </c>
      <c r="E289" s="16">
        <f>IF(D289="ストーリー", INT((COUNTIF($D$2:D289, "ストーリー")-1)/3) + 1, "NA")</f>
        <v>16</v>
      </c>
      <c r="F289" s="16" t="s">
        <v>689</v>
      </c>
      <c r="G289" s="17" t="s">
        <v>723</v>
      </c>
      <c r="H289" s="16">
        <v>2</v>
      </c>
      <c r="I289" s="16" t="s">
        <v>1166</v>
      </c>
      <c r="J289" s="17" t="s">
        <v>688</v>
      </c>
      <c r="K289" s="16"/>
    </row>
    <row r="290" spans="1:11" s="18" customFormat="1" ht="63">
      <c r="A290" s="16">
        <f t="shared" si="5"/>
        <v>289</v>
      </c>
      <c r="B290" s="16">
        <v>2025</v>
      </c>
      <c r="C290" s="16">
        <v>2</v>
      </c>
      <c r="D290" s="16" t="s">
        <v>519</v>
      </c>
      <c r="E290" s="16">
        <f>IF(D290="ストーリー", INT((COUNTIF($D$2:D290, "ストーリー")-1)/3) + 1, "NA")</f>
        <v>16</v>
      </c>
      <c r="F290" s="16" t="s">
        <v>690</v>
      </c>
      <c r="G290" s="17" t="s">
        <v>1167</v>
      </c>
      <c r="H290" s="16">
        <v>2</v>
      </c>
      <c r="I290" s="16" t="s">
        <v>1166</v>
      </c>
      <c r="J290" s="17" t="s">
        <v>688</v>
      </c>
      <c r="K290" s="16"/>
    </row>
    <row r="291" spans="1:11" ht="78.75">
      <c r="A291" s="1">
        <f t="shared" si="5"/>
        <v>290</v>
      </c>
      <c r="B291" s="1">
        <v>2025</v>
      </c>
      <c r="C291" s="1" t="s">
        <v>29</v>
      </c>
      <c r="D291" s="1" t="s">
        <v>519</v>
      </c>
      <c r="E291" s="1">
        <f>IF(D291="ストーリー", INT((COUNTIF($D$2:D291, "ストーリー")-1)/3) + 1, "NA")</f>
        <v>17</v>
      </c>
      <c r="F291" s="1" t="s">
        <v>691</v>
      </c>
      <c r="G291" s="2" t="s">
        <v>1180</v>
      </c>
      <c r="H291" s="1">
        <v>2</v>
      </c>
      <c r="I291" s="1" t="s">
        <v>1179</v>
      </c>
      <c r="J291" s="2" t="s">
        <v>1168</v>
      </c>
      <c r="K291" s="1"/>
    </row>
    <row r="292" spans="1:11" ht="78.75">
      <c r="A292" s="1">
        <f t="shared" si="5"/>
        <v>291</v>
      </c>
      <c r="B292" s="1">
        <v>2025</v>
      </c>
      <c r="C292" s="1" t="s">
        <v>29</v>
      </c>
      <c r="D292" s="1" t="s">
        <v>519</v>
      </c>
      <c r="E292" s="1">
        <f>IF(D292="ストーリー", INT((COUNTIF($D$2:D292, "ストーリー")-1)/3) + 1, "NA")</f>
        <v>17</v>
      </c>
      <c r="F292" s="1" t="s">
        <v>692</v>
      </c>
      <c r="G292" s="2" t="s">
        <v>1171</v>
      </c>
      <c r="H292" s="1">
        <v>3</v>
      </c>
      <c r="I292" s="1" t="s">
        <v>1179</v>
      </c>
      <c r="J292" s="2" t="s">
        <v>1168</v>
      </c>
      <c r="K292" s="1"/>
    </row>
    <row r="293" spans="1:11" ht="78.75">
      <c r="A293" s="1">
        <f t="shared" si="5"/>
        <v>292</v>
      </c>
      <c r="B293" s="1">
        <v>2025</v>
      </c>
      <c r="C293" s="1" t="s">
        <v>29</v>
      </c>
      <c r="D293" s="1" t="s">
        <v>519</v>
      </c>
      <c r="E293" s="1">
        <f>IF(D293="ストーリー", INT((COUNTIF($D$2:D293, "ストーリー")-1)/3) + 1, "NA")</f>
        <v>17</v>
      </c>
      <c r="F293" s="1" t="s">
        <v>693</v>
      </c>
      <c r="G293" s="2" t="s">
        <v>724</v>
      </c>
      <c r="H293" s="1">
        <v>1</v>
      </c>
      <c r="I293" s="1" t="s">
        <v>1179</v>
      </c>
      <c r="J293" s="2" t="s">
        <v>1168</v>
      </c>
      <c r="K293" s="1"/>
    </row>
    <row r="294" spans="1:11" ht="78.75">
      <c r="A294" s="1">
        <f t="shared" si="5"/>
        <v>293</v>
      </c>
      <c r="B294" s="1">
        <v>2025</v>
      </c>
      <c r="C294" s="1" t="s">
        <v>29</v>
      </c>
      <c r="D294" s="1" t="s">
        <v>519</v>
      </c>
      <c r="E294" s="1">
        <f>IF(D294="ストーリー", INT((COUNTIF($D$2:D294, "ストーリー")-1)/3) + 1, "NA")</f>
        <v>18</v>
      </c>
      <c r="F294" s="1" t="s">
        <v>694</v>
      </c>
      <c r="G294" s="2" t="s">
        <v>725</v>
      </c>
      <c r="H294" s="1">
        <v>3</v>
      </c>
      <c r="I294" s="1" t="s">
        <v>1181</v>
      </c>
      <c r="J294" s="2" t="s">
        <v>1148</v>
      </c>
      <c r="K294" s="1"/>
    </row>
    <row r="295" spans="1:11" ht="78.75">
      <c r="A295" s="1">
        <f t="shared" si="5"/>
        <v>294</v>
      </c>
      <c r="B295" s="1">
        <v>2025</v>
      </c>
      <c r="C295" s="1" t="s">
        <v>29</v>
      </c>
      <c r="D295" s="1" t="s">
        <v>519</v>
      </c>
      <c r="E295" s="1">
        <f>IF(D295="ストーリー", INT((COUNTIF($D$2:D295, "ストーリー")-1)/3) + 1, "NA")</f>
        <v>18</v>
      </c>
      <c r="F295" s="1" t="s">
        <v>695</v>
      </c>
      <c r="G295" s="2" t="s">
        <v>726</v>
      </c>
      <c r="H295" s="1">
        <v>2</v>
      </c>
      <c r="I295" s="1" t="s">
        <v>1181</v>
      </c>
      <c r="J295" s="2" t="s">
        <v>1148</v>
      </c>
      <c r="K295" s="1"/>
    </row>
    <row r="296" spans="1:11" ht="78.75">
      <c r="A296" s="1">
        <f t="shared" si="5"/>
        <v>295</v>
      </c>
      <c r="B296" s="1">
        <v>2025</v>
      </c>
      <c r="C296" s="1" t="s">
        <v>29</v>
      </c>
      <c r="D296" s="1" t="s">
        <v>519</v>
      </c>
      <c r="E296" s="1">
        <f>IF(D296="ストーリー", INT((COUNTIF($D$2:D296, "ストーリー")-1)/3) + 1, "NA")</f>
        <v>18</v>
      </c>
      <c r="F296" s="1" t="s">
        <v>696</v>
      </c>
      <c r="G296" s="2" t="s">
        <v>1172</v>
      </c>
      <c r="H296" s="1">
        <v>2</v>
      </c>
      <c r="I296" s="1" t="s">
        <v>1181</v>
      </c>
      <c r="J296" s="2" t="s">
        <v>1148</v>
      </c>
      <c r="K296" s="1"/>
    </row>
    <row r="297" spans="1:11" ht="78.75">
      <c r="A297" s="1">
        <f t="shared" si="5"/>
        <v>296</v>
      </c>
      <c r="B297" s="1">
        <v>2025</v>
      </c>
      <c r="C297" s="1" t="s">
        <v>29</v>
      </c>
      <c r="D297" s="1" t="s">
        <v>519</v>
      </c>
      <c r="E297" s="1">
        <f>IF(D297="ストーリー", INT((COUNTIF($D$2:D297, "ストーリー")-1)/3) + 1, "NA")</f>
        <v>19</v>
      </c>
      <c r="F297" s="1" t="s">
        <v>697</v>
      </c>
      <c r="G297" s="2" t="s">
        <v>727</v>
      </c>
      <c r="H297" s="1">
        <v>1</v>
      </c>
      <c r="I297" s="1" t="s">
        <v>1182</v>
      </c>
      <c r="J297" s="2" t="s">
        <v>698</v>
      </c>
      <c r="K297" s="1"/>
    </row>
    <row r="298" spans="1:11" ht="78.75">
      <c r="A298" s="1">
        <f t="shared" si="5"/>
        <v>297</v>
      </c>
      <c r="B298" s="1">
        <v>2025</v>
      </c>
      <c r="C298" s="1" t="s">
        <v>29</v>
      </c>
      <c r="D298" s="1" t="s">
        <v>519</v>
      </c>
      <c r="E298" s="1">
        <f>IF(D298="ストーリー", INT((COUNTIF($D$2:D298, "ストーリー")-1)/3) + 1, "NA")</f>
        <v>19</v>
      </c>
      <c r="F298" s="1" t="s">
        <v>699</v>
      </c>
      <c r="G298" s="2" t="s">
        <v>728</v>
      </c>
      <c r="H298" s="1">
        <v>4</v>
      </c>
      <c r="I298" s="1" t="s">
        <v>1182</v>
      </c>
      <c r="J298" s="2" t="s">
        <v>698</v>
      </c>
      <c r="K298" s="1"/>
    </row>
    <row r="299" spans="1:11" ht="78.75">
      <c r="A299" s="1">
        <f t="shared" si="5"/>
        <v>298</v>
      </c>
      <c r="B299" s="1">
        <v>2025</v>
      </c>
      <c r="C299" s="1" t="s">
        <v>29</v>
      </c>
      <c r="D299" s="1" t="s">
        <v>519</v>
      </c>
      <c r="E299" s="1">
        <f>IF(D299="ストーリー", INT((COUNTIF($D$2:D299, "ストーリー")-1)/3) + 1, "NA")</f>
        <v>19</v>
      </c>
      <c r="F299" s="1" t="s">
        <v>700</v>
      </c>
      <c r="G299" s="2" t="s">
        <v>729</v>
      </c>
      <c r="H299" s="1">
        <v>1</v>
      </c>
      <c r="I299" s="1" t="s">
        <v>1182</v>
      </c>
      <c r="J299" s="2" t="s">
        <v>698</v>
      </c>
      <c r="K299" s="1"/>
    </row>
    <row r="300" spans="1:11" ht="78.75">
      <c r="A300" s="1">
        <f t="shared" si="5"/>
        <v>299</v>
      </c>
      <c r="B300" s="1">
        <v>2025</v>
      </c>
      <c r="C300" s="1" t="s">
        <v>29</v>
      </c>
      <c r="D300" s="1" t="s">
        <v>519</v>
      </c>
      <c r="E300" s="1">
        <f>IF(D300="ストーリー", INT((COUNTIF($D$2:D300, "ストーリー")-1)/3) + 1, "NA")</f>
        <v>20</v>
      </c>
      <c r="F300" s="1" t="s">
        <v>701</v>
      </c>
      <c r="G300" s="2" t="s">
        <v>730</v>
      </c>
      <c r="H300" s="1">
        <v>1</v>
      </c>
      <c r="I300" s="1" t="s">
        <v>1183</v>
      </c>
      <c r="J300" s="2" t="s">
        <v>702</v>
      </c>
      <c r="K300" s="1"/>
    </row>
    <row r="301" spans="1:11" ht="78.75">
      <c r="A301" s="1">
        <f t="shared" si="5"/>
        <v>300</v>
      </c>
      <c r="B301" s="1">
        <v>2025</v>
      </c>
      <c r="C301" s="1" t="s">
        <v>29</v>
      </c>
      <c r="D301" s="1" t="s">
        <v>519</v>
      </c>
      <c r="E301" s="1">
        <f>IF(D301="ストーリー", INT((COUNTIF($D$2:D301, "ストーリー")-1)/3) + 1, "NA")</f>
        <v>20</v>
      </c>
      <c r="F301" s="1" t="s">
        <v>703</v>
      </c>
      <c r="G301" s="2" t="s">
        <v>731</v>
      </c>
      <c r="H301" s="1">
        <v>4</v>
      </c>
      <c r="I301" s="1" t="s">
        <v>1183</v>
      </c>
      <c r="J301" s="2" t="s">
        <v>702</v>
      </c>
      <c r="K301" s="1"/>
    </row>
    <row r="302" spans="1:11" ht="78.75">
      <c r="A302" s="1">
        <f t="shared" si="5"/>
        <v>301</v>
      </c>
      <c r="B302" s="1">
        <v>2025</v>
      </c>
      <c r="C302" s="1" t="s">
        <v>29</v>
      </c>
      <c r="D302" s="1" t="s">
        <v>519</v>
      </c>
      <c r="E302" s="1">
        <f>IF(D302="ストーリー", INT((COUNTIF($D$2:D302, "ストーリー")-1)/3) + 1, "NA")</f>
        <v>20</v>
      </c>
      <c r="F302" s="1" t="s">
        <v>704</v>
      </c>
      <c r="G302" s="2" t="s">
        <v>732</v>
      </c>
      <c r="H302" s="1">
        <v>1</v>
      </c>
      <c r="I302" s="1" t="s">
        <v>1183</v>
      </c>
      <c r="J302" s="2" t="s">
        <v>702</v>
      </c>
      <c r="K302" s="1"/>
    </row>
    <row r="303" spans="1:11" ht="78.75">
      <c r="A303" s="1">
        <f t="shared" si="5"/>
        <v>302</v>
      </c>
      <c r="B303" s="1">
        <v>2025</v>
      </c>
      <c r="C303" s="1" t="s">
        <v>29</v>
      </c>
      <c r="D303" s="1" t="s">
        <v>519</v>
      </c>
      <c r="E303" s="1">
        <f>IF(D303="ストーリー", INT((COUNTIF($D$2:D303, "ストーリー")-1)/3) + 1, "NA")</f>
        <v>21</v>
      </c>
      <c r="F303" s="1" t="s">
        <v>705</v>
      </c>
      <c r="G303" s="2" t="s">
        <v>733</v>
      </c>
      <c r="H303" s="1">
        <v>3</v>
      </c>
      <c r="I303" s="1" t="s">
        <v>1184</v>
      </c>
      <c r="J303" s="2" t="s">
        <v>706</v>
      </c>
      <c r="K303" s="1"/>
    </row>
    <row r="304" spans="1:11" ht="78.75">
      <c r="A304" s="1">
        <f t="shared" si="5"/>
        <v>303</v>
      </c>
      <c r="B304" s="1">
        <v>2025</v>
      </c>
      <c r="C304" s="1" t="s">
        <v>29</v>
      </c>
      <c r="D304" s="1" t="s">
        <v>519</v>
      </c>
      <c r="E304" s="1">
        <f>IF(D304="ストーリー", INT((COUNTIF($D$2:D304, "ストーリー")-1)/3) + 1, "NA")</f>
        <v>21</v>
      </c>
      <c r="F304" s="1" t="s">
        <v>707</v>
      </c>
      <c r="G304" s="2" t="s">
        <v>734</v>
      </c>
      <c r="H304" s="1">
        <v>2</v>
      </c>
      <c r="I304" s="1" t="s">
        <v>1184</v>
      </c>
      <c r="J304" s="2" t="s">
        <v>706</v>
      </c>
      <c r="K304" s="1"/>
    </row>
    <row r="305" spans="1:11" ht="78.75">
      <c r="A305" s="1">
        <f t="shared" si="5"/>
        <v>304</v>
      </c>
      <c r="B305" s="1">
        <v>2025</v>
      </c>
      <c r="C305" s="1" t="s">
        <v>29</v>
      </c>
      <c r="D305" s="1" t="s">
        <v>519</v>
      </c>
      <c r="E305" s="1">
        <f>IF(D305="ストーリー", INT((COUNTIF($D$2:D305, "ストーリー")-1)/3) + 1, "NA")</f>
        <v>21</v>
      </c>
      <c r="F305" s="1" t="s">
        <v>708</v>
      </c>
      <c r="G305" s="2" t="s">
        <v>1173</v>
      </c>
      <c r="H305" s="1">
        <v>4</v>
      </c>
      <c r="I305" s="1" t="s">
        <v>1184</v>
      </c>
      <c r="J305" s="2" t="s">
        <v>706</v>
      </c>
      <c r="K305" s="1"/>
    </row>
    <row r="306" spans="1:11" ht="94.5">
      <c r="A306" s="1">
        <f t="shared" ref="A306:A311" si="6">ROW()-1</f>
        <v>305</v>
      </c>
      <c r="B306" s="1">
        <v>2025</v>
      </c>
      <c r="C306" s="1">
        <v>1</v>
      </c>
      <c r="D306" s="1" t="s">
        <v>519</v>
      </c>
      <c r="E306" s="1">
        <f>IF(D306="ストーリー", INT((COUNTIF($D$2:D306, "ストーリー")-1)/3) + 1, "NA")</f>
        <v>22</v>
      </c>
      <c r="F306" s="1" t="s">
        <v>709</v>
      </c>
      <c r="G306" s="2" t="s">
        <v>1185</v>
      </c>
      <c r="H306" s="1">
        <v>2</v>
      </c>
      <c r="I306" s="1" t="s">
        <v>1186</v>
      </c>
      <c r="J306" s="2" t="s">
        <v>1169</v>
      </c>
      <c r="K306" s="1"/>
    </row>
    <row r="307" spans="1:11" ht="94.5">
      <c r="A307" s="1">
        <f t="shared" si="6"/>
        <v>306</v>
      </c>
      <c r="B307" s="1">
        <v>2025</v>
      </c>
      <c r="C307" s="1">
        <v>1</v>
      </c>
      <c r="D307" s="1" t="s">
        <v>519</v>
      </c>
      <c r="E307" s="1">
        <f>IF(D307="ストーリー", INT((COUNTIF($D$2:D307, "ストーリー")-1)/3) + 1, "NA")</f>
        <v>22</v>
      </c>
      <c r="F307" s="1" t="s">
        <v>1175</v>
      </c>
      <c r="G307" s="2" t="s">
        <v>1174</v>
      </c>
      <c r="H307" s="1">
        <v>3</v>
      </c>
      <c r="I307" s="1" t="s">
        <v>1186</v>
      </c>
      <c r="J307" s="2" t="s">
        <v>1169</v>
      </c>
      <c r="K307" s="1"/>
    </row>
    <row r="308" spans="1:11" ht="94.5">
      <c r="A308" s="1">
        <f t="shared" si="6"/>
        <v>307</v>
      </c>
      <c r="B308" s="1">
        <v>2025</v>
      </c>
      <c r="C308" s="1">
        <v>1</v>
      </c>
      <c r="D308" s="1" t="s">
        <v>519</v>
      </c>
      <c r="E308" s="1">
        <f>IF(D308="ストーリー", INT((COUNTIF($D$2:D308, "ストーリー")-1)/3) + 1, "NA")</f>
        <v>22</v>
      </c>
      <c r="F308" s="1" t="s">
        <v>710</v>
      </c>
      <c r="G308" s="2" t="s">
        <v>735</v>
      </c>
      <c r="H308" s="1">
        <v>1</v>
      </c>
      <c r="I308" s="1" t="s">
        <v>1186</v>
      </c>
      <c r="J308" s="2" t="s">
        <v>1169</v>
      </c>
      <c r="K308" s="1"/>
    </row>
    <row r="309" spans="1:11" ht="110.25">
      <c r="A309" s="1">
        <f t="shared" si="6"/>
        <v>308</v>
      </c>
      <c r="B309" s="1">
        <v>2025</v>
      </c>
      <c r="C309" s="1">
        <v>1</v>
      </c>
      <c r="D309" s="1" t="s">
        <v>519</v>
      </c>
      <c r="E309" s="1">
        <f>IF(D309="ストーリー", INT((COUNTIF($D$2:D309, "ストーリー")-1)/3) + 1, "NA")</f>
        <v>23</v>
      </c>
      <c r="F309" s="1" t="s">
        <v>711</v>
      </c>
      <c r="G309" s="2" t="s">
        <v>736</v>
      </c>
      <c r="H309" s="1">
        <v>3</v>
      </c>
      <c r="I309" s="1" t="s">
        <v>1187</v>
      </c>
      <c r="J309" s="2" t="s">
        <v>1170</v>
      </c>
      <c r="K309" s="1"/>
    </row>
    <row r="310" spans="1:11" ht="110.25">
      <c r="A310" s="1">
        <f t="shared" si="6"/>
        <v>309</v>
      </c>
      <c r="B310" s="1">
        <v>2025</v>
      </c>
      <c r="C310" s="1">
        <v>1</v>
      </c>
      <c r="D310" s="1" t="s">
        <v>519</v>
      </c>
      <c r="E310" s="1">
        <f>IF(D310="ストーリー", INT((COUNTIF($D$2:D310, "ストーリー")-1)/3) + 1, "NA")</f>
        <v>23</v>
      </c>
      <c r="F310" s="1" t="s">
        <v>1177</v>
      </c>
      <c r="G310" s="2" t="s">
        <v>1178</v>
      </c>
      <c r="H310" s="1">
        <v>4</v>
      </c>
      <c r="I310" s="1" t="s">
        <v>1187</v>
      </c>
      <c r="J310" s="2" t="s">
        <v>1170</v>
      </c>
      <c r="K310" s="1"/>
    </row>
    <row r="311" spans="1:11" ht="110.25">
      <c r="A311" s="1">
        <f t="shared" si="6"/>
        <v>310</v>
      </c>
      <c r="B311" s="1">
        <v>2025</v>
      </c>
      <c r="C311" s="1">
        <v>1</v>
      </c>
      <c r="D311" s="1" t="s">
        <v>519</v>
      </c>
      <c r="E311" s="1">
        <f>IF(D311="ストーリー", INT((COUNTIF($D$2:D311, "ストーリー")-1)/3) + 1, "NA")</f>
        <v>23</v>
      </c>
      <c r="F311" s="1" t="s">
        <v>712</v>
      </c>
      <c r="G311" s="2" t="s">
        <v>1176</v>
      </c>
      <c r="H311" s="1">
        <v>1</v>
      </c>
      <c r="I311" s="1" t="s">
        <v>1187</v>
      </c>
      <c r="J311" s="2" t="s">
        <v>1170</v>
      </c>
      <c r="K311" s="1"/>
    </row>
    <row r="312" spans="1:11">
      <c r="A312" s="1">
        <f t="shared" si="3"/>
        <v>311</v>
      </c>
      <c r="B312" s="1">
        <v>2025</v>
      </c>
      <c r="C312" s="1">
        <v>5</v>
      </c>
      <c r="D312" s="1" t="s">
        <v>520</v>
      </c>
      <c r="E312" s="1" t="str">
        <f>IF(D312="ストーリー", INT((COUNTIF($D$2:D312, "ストーリー")-1)/3) + 1, "NA")</f>
        <v>NA</v>
      </c>
      <c r="F312" s="1" t="s">
        <v>521</v>
      </c>
      <c r="G312" s="1"/>
      <c r="H312" s="1"/>
      <c r="I312" s="1"/>
      <c r="J312" s="2"/>
      <c r="K312" s="1"/>
    </row>
    <row r="313" spans="1:11">
      <c r="A313" s="1">
        <f t="shared" si="3"/>
        <v>312</v>
      </c>
      <c r="B313" s="1">
        <v>2025</v>
      </c>
      <c r="C313" s="1">
        <v>4</v>
      </c>
      <c r="D313" s="1" t="s">
        <v>520</v>
      </c>
      <c r="E313" s="1" t="str">
        <f>IF(D313="ストーリー", INT((COUNTIF($D$2:D313, "ストーリー")-1)/3) + 1, "NA")</f>
        <v>NA</v>
      </c>
      <c r="F313" s="1" t="s">
        <v>522</v>
      </c>
      <c r="G313" s="1"/>
      <c r="H313" s="1"/>
      <c r="I313" s="1"/>
      <c r="J313" s="2"/>
      <c r="K313" s="1"/>
    </row>
    <row r="314" spans="1:11">
      <c r="A314" s="1">
        <f t="shared" si="3"/>
        <v>313</v>
      </c>
      <c r="B314" s="1">
        <v>2025</v>
      </c>
      <c r="C314" s="1">
        <v>3</v>
      </c>
      <c r="D314" s="1" t="s">
        <v>520</v>
      </c>
      <c r="E314" s="1" t="str">
        <f>IF(D314="ストーリー", INT((COUNTIF($D$2:D314, "ストーリー")-1)/3) + 1, "NA")</f>
        <v>NA</v>
      </c>
      <c r="F314" s="1" t="s">
        <v>523</v>
      </c>
      <c r="G314" s="1"/>
      <c r="H314" s="1"/>
      <c r="I314" s="1"/>
      <c r="J314" s="2"/>
      <c r="K314" s="1"/>
    </row>
    <row r="315" spans="1:11">
      <c r="A315" s="1">
        <f t="shared" si="3"/>
        <v>314</v>
      </c>
      <c r="B315" s="1">
        <v>2025</v>
      </c>
      <c r="C315" s="1">
        <v>2</v>
      </c>
      <c r="D315" s="1" t="s">
        <v>520</v>
      </c>
      <c r="E315" s="1" t="str">
        <f>IF(D315="ストーリー", INT((COUNTIF($D$2:D315, "ストーリー")-1)/3) + 1, "NA")</f>
        <v>NA</v>
      </c>
      <c r="F315" s="1" t="s">
        <v>524</v>
      </c>
      <c r="G315" s="1"/>
      <c r="H315" s="1"/>
      <c r="I315" s="1"/>
      <c r="J315" s="2"/>
      <c r="K315" s="1"/>
    </row>
    <row r="316" spans="1:11">
      <c r="A316" s="1">
        <f t="shared" si="3"/>
        <v>315</v>
      </c>
      <c r="B316" s="1">
        <v>2025</v>
      </c>
      <c r="C316" s="1" t="s">
        <v>29</v>
      </c>
      <c r="D316" s="1" t="s">
        <v>520</v>
      </c>
      <c r="E316" s="1" t="str">
        <f>IF(D316="ストーリー", INT((COUNTIF($D$2:D316, "ストーリー")-1)/3) + 1, "NA")</f>
        <v>NA</v>
      </c>
      <c r="F316" s="1" t="s">
        <v>525</v>
      </c>
      <c r="G316" s="1"/>
      <c r="H316" s="1"/>
      <c r="I316" s="1"/>
      <c r="J316" s="2"/>
      <c r="K316" s="1"/>
    </row>
    <row r="317" spans="1:11">
      <c r="A317" s="1">
        <f t="shared" si="3"/>
        <v>316</v>
      </c>
      <c r="B317" s="1">
        <v>2025</v>
      </c>
      <c r="C317" s="1">
        <v>1</v>
      </c>
      <c r="D317" s="1" t="s">
        <v>520</v>
      </c>
      <c r="E317" s="1" t="str">
        <f>IF(D317="ストーリー", INT((COUNTIF($D$2:D317, "ストーリー")-1)/3) + 1, "NA")</f>
        <v>NA</v>
      </c>
      <c r="F317" s="1" t="s">
        <v>526</v>
      </c>
      <c r="G317" s="1"/>
      <c r="H317" s="1"/>
      <c r="I317" s="1"/>
      <c r="J317" s="2"/>
      <c r="K317" s="1"/>
    </row>
  </sheetData>
  <autoFilter ref="A1:K317" xr:uid="{8B6B432B-FD1A-465A-996A-D68068EA881F}">
    <filterColumn colId="1">
      <filters>
        <filter val="2025"/>
      </filters>
    </filterColumn>
  </autoFilter>
  <phoneticPr fontId="2"/>
  <hyperlinks>
    <hyperlink ref="I184" r:id="rId1" display="https://youtu.be/yzKVaRFlHg0" xr:uid="{9B2BBE79-28D5-4FB2-B1B0-1DF7E4D8C372}"/>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I73"/>
  <sheetViews>
    <sheetView showGridLines="0" zoomScale="85" zoomScaleNormal="85" workbookViewId="0">
      <pane ySplit="1" topLeftCell="A2" activePane="bottomLeft" state="frozen"/>
      <selection pane="bottomLeft" activeCell="D2" sqref="D2"/>
    </sheetView>
  </sheetViews>
  <sheetFormatPr defaultColWidth="9" defaultRowHeight="15.75"/>
  <cols>
    <col min="1" max="4" width="9" style="5"/>
    <col min="5" max="5" width="82.375" style="5" customWidth="1"/>
    <col min="6" max="6" width="36.25" style="5" customWidth="1"/>
    <col min="7" max="7" width="9" style="5"/>
    <col min="8" max="8" width="57.125" style="12" customWidth="1"/>
    <col min="9" max="16384" width="9" style="5"/>
  </cols>
  <sheetData>
    <row r="1" spans="1:9">
      <c r="A1" s="1" t="s">
        <v>0</v>
      </c>
      <c r="B1" s="1" t="s">
        <v>157</v>
      </c>
      <c r="C1" s="1" t="s">
        <v>1</v>
      </c>
      <c r="D1" s="1" t="s">
        <v>158</v>
      </c>
      <c r="E1" s="1" t="s">
        <v>80</v>
      </c>
      <c r="F1" s="1" t="s">
        <v>81</v>
      </c>
      <c r="G1" s="1" t="s">
        <v>159</v>
      </c>
      <c r="H1" s="11" t="s">
        <v>82</v>
      </c>
      <c r="I1" s="1" t="s">
        <v>399</v>
      </c>
    </row>
    <row r="2" spans="1:9" ht="63">
      <c r="A2" s="1">
        <f>ROW()-1</f>
        <v>1</v>
      </c>
      <c r="B2" s="1">
        <v>2023</v>
      </c>
      <c r="C2" s="1">
        <v>2</v>
      </c>
      <c r="D2" s="1" t="s">
        <v>194</v>
      </c>
      <c r="E2" s="1" t="s">
        <v>83</v>
      </c>
      <c r="F2" s="2" t="s">
        <v>84</v>
      </c>
      <c r="G2" s="1">
        <v>2</v>
      </c>
      <c r="H2" s="11" t="s">
        <v>160</v>
      </c>
      <c r="I2" s="1" t="s">
        <v>400</v>
      </c>
    </row>
    <row r="3" spans="1:9" ht="110.25">
      <c r="A3" s="1">
        <f t="shared" ref="A3:A70" si="0">ROW()-1</f>
        <v>2</v>
      </c>
      <c r="B3" s="1">
        <v>2023</v>
      </c>
      <c r="C3" s="1">
        <v>2</v>
      </c>
      <c r="D3" s="1" t="s">
        <v>194</v>
      </c>
      <c r="E3" s="1" t="s">
        <v>85</v>
      </c>
      <c r="F3" s="2" t="s">
        <v>86</v>
      </c>
      <c r="G3" s="1">
        <v>1</v>
      </c>
      <c r="H3" s="11" t="s">
        <v>161</v>
      </c>
      <c r="I3" s="1" t="s">
        <v>400</v>
      </c>
    </row>
    <row r="4" spans="1:9" ht="63">
      <c r="A4" s="1">
        <f t="shared" si="0"/>
        <v>3</v>
      </c>
      <c r="B4" s="1">
        <v>2023</v>
      </c>
      <c r="C4" s="1">
        <v>2</v>
      </c>
      <c r="D4" s="1" t="s">
        <v>194</v>
      </c>
      <c r="E4" s="1" t="s">
        <v>87</v>
      </c>
      <c r="F4" s="2" t="s">
        <v>88</v>
      </c>
      <c r="G4" s="1">
        <v>4</v>
      </c>
      <c r="H4" s="11" t="s">
        <v>162</v>
      </c>
      <c r="I4" s="1" t="s">
        <v>400</v>
      </c>
    </row>
    <row r="5" spans="1:9" ht="63">
      <c r="A5" s="1">
        <f t="shared" si="0"/>
        <v>4</v>
      </c>
      <c r="B5" s="1">
        <v>2023</v>
      </c>
      <c r="C5" s="1">
        <v>2</v>
      </c>
      <c r="D5" s="1" t="s">
        <v>194</v>
      </c>
      <c r="E5" s="1" t="s">
        <v>89</v>
      </c>
      <c r="F5" s="2" t="s">
        <v>90</v>
      </c>
      <c r="G5" s="1">
        <v>2</v>
      </c>
      <c r="H5" s="11" t="s">
        <v>163</v>
      </c>
      <c r="I5" s="1" t="s">
        <v>400</v>
      </c>
    </row>
    <row r="6" spans="1:9" ht="63">
      <c r="A6" s="1">
        <f t="shared" si="0"/>
        <v>5</v>
      </c>
      <c r="B6" s="1">
        <v>2023</v>
      </c>
      <c r="C6" s="1">
        <v>2</v>
      </c>
      <c r="D6" s="1" t="s">
        <v>194</v>
      </c>
      <c r="E6" s="1" t="s">
        <v>91</v>
      </c>
      <c r="F6" s="2" t="s">
        <v>92</v>
      </c>
      <c r="G6" s="1">
        <v>1</v>
      </c>
      <c r="H6" s="11" t="s">
        <v>164</v>
      </c>
      <c r="I6" s="1" t="s">
        <v>400</v>
      </c>
    </row>
    <row r="7" spans="1:9" ht="63">
      <c r="A7" s="1">
        <f t="shared" si="0"/>
        <v>6</v>
      </c>
      <c r="B7" s="1">
        <v>2023</v>
      </c>
      <c r="C7" s="1">
        <v>2</v>
      </c>
      <c r="D7" s="1" t="s">
        <v>194</v>
      </c>
      <c r="E7" s="1" t="s">
        <v>93</v>
      </c>
      <c r="F7" s="2" t="s">
        <v>94</v>
      </c>
      <c r="G7" s="1">
        <v>3</v>
      </c>
      <c r="H7" s="11" t="s">
        <v>165</v>
      </c>
      <c r="I7" s="1" t="s">
        <v>400</v>
      </c>
    </row>
    <row r="8" spans="1:9" ht="126">
      <c r="A8" s="1">
        <f t="shared" si="0"/>
        <v>7</v>
      </c>
      <c r="B8" s="1">
        <v>2023</v>
      </c>
      <c r="C8" s="1">
        <v>2</v>
      </c>
      <c r="D8" s="1" t="s">
        <v>194</v>
      </c>
      <c r="E8" s="1" t="s">
        <v>95</v>
      </c>
      <c r="F8" s="2" t="s">
        <v>96</v>
      </c>
      <c r="G8" s="1">
        <v>3</v>
      </c>
      <c r="H8" s="11" t="s">
        <v>166</v>
      </c>
      <c r="I8" s="1" t="s">
        <v>400</v>
      </c>
    </row>
    <row r="9" spans="1:9" ht="63">
      <c r="A9" s="1">
        <f t="shared" si="0"/>
        <v>8</v>
      </c>
      <c r="B9" s="1">
        <v>2023</v>
      </c>
      <c r="C9" s="1">
        <v>2</v>
      </c>
      <c r="D9" s="1" t="s">
        <v>194</v>
      </c>
      <c r="E9" s="1" t="s">
        <v>97</v>
      </c>
      <c r="F9" s="2" t="s">
        <v>98</v>
      </c>
      <c r="G9" s="1">
        <v>3</v>
      </c>
      <c r="H9" s="11" t="s">
        <v>167</v>
      </c>
      <c r="I9" s="1" t="s">
        <v>400</v>
      </c>
    </row>
    <row r="10" spans="1:9" ht="78.75">
      <c r="A10" s="1">
        <f t="shared" si="0"/>
        <v>9</v>
      </c>
      <c r="B10" s="1">
        <v>2023</v>
      </c>
      <c r="C10" s="1">
        <v>2</v>
      </c>
      <c r="D10" s="1" t="s">
        <v>194</v>
      </c>
      <c r="E10" s="1" t="s">
        <v>99</v>
      </c>
      <c r="F10" s="2" t="s">
        <v>100</v>
      </c>
      <c r="G10" s="1">
        <v>4</v>
      </c>
      <c r="H10" s="11" t="s">
        <v>168</v>
      </c>
      <c r="I10" s="1" t="s">
        <v>400</v>
      </c>
    </row>
    <row r="11" spans="1:9" ht="63">
      <c r="A11" s="1">
        <f t="shared" si="0"/>
        <v>10</v>
      </c>
      <c r="B11" s="1">
        <v>2023</v>
      </c>
      <c r="C11" s="1">
        <v>2</v>
      </c>
      <c r="D11" s="1" t="s">
        <v>194</v>
      </c>
      <c r="E11" s="1" t="s">
        <v>101</v>
      </c>
      <c r="F11" s="2" t="s">
        <v>102</v>
      </c>
      <c r="G11" s="1">
        <v>2</v>
      </c>
      <c r="H11" s="11" t="s">
        <v>169</v>
      </c>
      <c r="I11" s="1" t="s">
        <v>400</v>
      </c>
    </row>
    <row r="12" spans="1:9" ht="63">
      <c r="A12" s="1">
        <f t="shared" si="0"/>
        <v>11</v>
      </c>
      <c r="B12" s="1">
        <v>2023</v>
      </c>
      <c r="C12" s="1">
        <v>2</v>
      </c>
      <c r="D12" s="1" t="s">
        <v>194</v>
      </c>
      <c r="E12" s="1" t="s">
        <v>103</v>
      </c>
      <c r="F12" s="2" t="s">
        <v>104</v>
      </c>
      <c r="G12" s="1">
        <v>1</v>
      </c>
      <c r="H12" s="11" t="s">
        <v>170</v>
      </c>
      <c r="I12" s="1" t="s">
        <v>400</v>
      </c>
    </row>
    <row r="13" spans="1:9" ht="63">
      <c r="A13" s="1">
        <f t="shared" si="0"/>
        <v>12</v>
      </c>
      <c r="B13" s="1">
        <v>2023</v>
      </c>
      <c r="C13" s="1">
        <v>2</v>
      </c>
      <c r="D13" s="1" t="s">
        <v>194</v>
      </c>
      <c r="E13" s="1" t="s">
        <v>105</v>
      </c>
      <c r="F13" s="2" t="s">
        <v>106</v>
      </c>
      <c r="G13" s="1">
        <v>3</v>
      </c>
      <c r="H13" s="11" t="s">
        <v>171</v>
      </c>
      <c r="I13" s="1" t="s">
        <v>400</v>
      </c>
    </row>
    <row r="14" spans="1:9" ht="63">
      <c r="A14" s="1">
        <f t="shared" si="0"/>
        <v>13</v>
      </c>
      <c r="B14" s="1">
        <v>2023</v>
      </c>
      <c r="C14" s="1">
        <v>2</v>
      </c>
      <c r="D14" s="1" t="s">
        <v>194</v>
      </c>
      <c r="E14" s="1" t="s">
        <v>107</v>
      </c>
      <c r="F14" s="2" t="s">
        <v>108</v>
      </c>
      <c r="G14" s="1">
        <v>3</v>
      </c>
      <c r="H14" s="11" t="s">
        <v>172</v>
      </c>
      <c r="I14" s="1" t="s">
        <v>400</v>
      </c>
    </row>
    <row r="15" spans="1:9" ht="63">
      <c r="A15" s="1">
        <f t="shared" si="0"/>
        <v>14</v>
      </c>
      <c r="B15" s="1">
        <v>2023</v>
      </c>
      <c r="C15" s="1">
        <v>2</v>
      </c>
      <c r="D15" s="1" t="s">
        <v>194</v>
      </c>
      <c r="E15" s="1" t="s">
        <v>110</v>
      </c>
      <c r="F15" s="2" t="s">
        <v>109</v>
      </c>
      <c r="G15" s="1">
        <v>4</v>
      </c>
      <c r="H15" s="11" t="s">
        <v>173</v>
      </c>
      <c r="I15" s="1" t="s">
        <v>400</v>
      </c>
    </row>
    <row r="16" spans="1:9" ht="63">
      <c r="A16" s="1">
        <f t="shared" si="0"/>
        <v>15</v>
      </c>
      <c r="B16" s="1">
        <v>2023</v>
      </c>
      <c r="C16" s="1">
        <v>2</v>
      </c>
      <c r="D16" s="1" t="s">
        <v>194</v>
      </c>
      <c r="E16" s="1" t="s">
        <v>111</v>
      </c>
      <c r="F16" s="2" t="s">
        <v>112</v>
      </c>
      <c r="G16" s="1">
        <v>2</v>
      </c>
      <c r="H16" s="11" t="s">
        <v>174</v>
      </c>
      <c r="I16" s="1" t="s">
        <v>400</v>
      </c>
    </row>
    <row r="17" spans="1:9" ht="94.5">
      <c r="A17" s="1">
        <f t="shared" si="0"/>
        <v>16</v>
      </c>
      <c r="B17" s="1">
        <v>2023</v>
      </c>
      <c r="C17" s="1">
        <v>2</v>
      </c>
      <c r="D17" s="1" t="s">
        <v>194</v>
      </c>
      <c r="E17" s="1" t="s">
        <v>113</v>
      </c>
      <c r="F17" s="2" t="s">
        <v>114</v>
      </c>
      <c r="G17" s="1">
        <v>1</v>
      </c>
      <c r="H17" s="11" t="s">
        <v>175</v>
      </c>
      <c r="I17" s="1" t="s">
        <v>400</v>
      </c>
    </row>
    <row r="18" spans="1:9" ht="63">
      <c r="A18" s="1">
        <f t="shared" si="0"/>
        <v>17</v>
      </c>
      <c r="B18" s="1">
        <v>2023</v>
      </c>
      <c r="C18" s="1">
        <v>2</v>
      </c>
      <c r="D18" s="1" t="s">
        <v>194</v>
      </c>
      <c r="E18" s="1" t="s">
        <v>115</v>
      </c>
      <c r="F18" s="2" t="s">
        <v>116</v>
      </c>
      <c r="G18" s="1">
        <v>1</v>
      </c>
      <c r="H18" s="11" t="s">
        <v>176</v>
      </c>
      <c r="I18" s="1" t="s">
        <v>400</v>
      </c>
    </row>
    <row r="19" spans="1:9" ht="63">
      <c r="A19" s="1">
        <f t="shared" si="0"/>
        <v>18</v>
      </c>
      <c r="B19" s="1">
        <v>2023</v>
      </c>
      <c r="C19" s="1">
        <v>2</v>
      </c>
      <c r="D19" s="1" t="s">
        <v>194</v>
      </c>
      <c r="E19" s="1" t="s">
        <v>117</v>
      </c>
      <c r="F19" s="2" t="s">
        <v>118</v>
      </c>
      <c r="G19" s="1">
        <v>2</v>
      </c>
      <c r="H19" s="11" t="s">
        <v>177</v>
      </c>
      <c r="I19" s="1" t="s">
        <v>400</v>
      </c>
    </row>
    <row r="20" spans="1:9" ht="63">
      <c r="A20" s="1">
        <f t="shared" si="0"/>
        <v>19</v>
      </c>
      <c r="B20" s="1">
        <v>2023</v>
      </c>
      <c r="C20" s="1">
        <v>2</v>
      </c>
      <c r="D20" s="1" t="s">
        <v>194</v>
      </c>
      <c r="E20" s="1" t="s">
        <v>119</v>
      </c>
      <c r="F20" s="2" t="s">
        <v>120</v>
      </c>
      <c r="G20" s="1">
        <v>2</v>
      </c>
      <c r="H20" s="11" t="s">
        <v>178</v>
      </c>
      <c r="I20" s="1" t="s">
        <v>400</v>
      </c>
    </row>
    <row r="21" spans="1:9" ht="63">
      <c r="A21" s="1">
        <f t="shared" si="0"/>
        <v>20</v>
      </c>
      <c r="B21" s="1">
        <v>2023</v>
      </c>
      <c r="C21" s="1">
        <v>2</v>
      </c>
      <c r="D21" s="1" t="s">
        <v>194</v>
      </c>
      <c r="E21" s="1" t="s">
        <v>121</v>
      </c>
      <c r="F21" s="2" t="s">
        <v>122</v>
      </c>
      <c r="G21" s="1">
        <v>3</v>
      </c>
      <c r="H21" s="11" t="s">
        <v>179</v>
      </c>
      <c r="I21" s="1" t="s">
        <v>400</v>
      </c>
    </row>
    <row r="22" spans="1:9" ht="63">
      <c r="A22" s="1">
        <f t="shared" si="0"/>
        <v>21</v>
      </c>
      <c r="B22" s="1">
        <v>2023</v>
      </c>
      <c r="C22" s="1">
        <v>2</v>
      </c>
      <c r="D22" s="1" t="s">
        <v>194</v>
      </c>
      <c r="E22" s="1" t="s">
        <v>123</v>
      </c>
      <c r="F22" s="2" t="s">
        <v>124</v>
      </c>
      <c r="G22" s="1">
        <v>4</v>
      </c>
      <c r="H22" s="11" t="s">
        <v>180</v>
      </c>
      <c r="I22" s="1" t="s">
        <v>400</v>
      </c>
    </row>
    <row r="23" spans="1:9" ht="63">
      <c r="A23" s="1">
        <f t="shared" si="0"/>
        <v>22</v>
      </c>
      <c r="B23" s="1">
        <v>2023</v>
      </c>
      <c r="C23" s="1">
        <v>2</v>
      </c>
      <c r="D23" s="1" t="s">
        <v>194</v>
      </c>
      <c r="E23" s="1" t="s">
        <v>125</v>
      </c>
      <c r="F23" s="2" t="s">
        <v>126</v>
      </c>
      <c r="G23" s="1">
        <v>2</v>
      </c>
      <c r="H23" s="11" t="s">
        <v>181</v>
      </c>
      <c r="I23" s="1" t="s">
        <v>400</v>
      </c>
    </row>
    <row r="24" spans="1:9" ht="63">
      <c r="A24" s="1">
        <f t="shared" si="0"/>
        <v>23</v>
      </c>
      <c r="B24" s="1">
        <v>2023</v>
      </c>
      <c r="C24" s="1">
        <v>2</v>
      </c>
      <c r="D24" s="1" t="s">
        <v>194</v>
      </c>
      <c r="E24" s="1" t="s">
        <v>127</v>
      </c>
      <c r="F24" s="2" t="s">
        <v>128</v>
      </c>
      <c r="G24" s="1">
        <v>1</v>
      </c>
      <c r="H24" s="11" t="s">
        <v>182</v>
      </c>
      <c r="I24" s="1" t="s">
        <v>400</v>
      </c>
    </row>
    <row r="25" spans="1:9" ht="63">
      <c r="A25" s="1">
        <f t="shared" si="0"/>
        <v>24</v>
      </c>
      <c r="B25" s="1">
        <v>2023</v>
      </c>
      <c r="C25" s="1">
        <v>2</v>
      </c>
      <c r="D25" s="1" t="s">
        <v>194</v>
      </c>
      <c r="E25" s="1" t="s">
        <v>129</v>
      </c>
      <c r="F25" s="2" t="s">
        <v>130</v>
      </c>
      <c r="G25" s="1">
        <v>2</v>
      </c>
      <c r="H25" s="11" t="s">
        <v>183</v>
      </c>
      <c r="I25" s="1" t="s">
        <v>400</v>
      </c>
    </row>
    <row r="26" spans="1:9" ht="63">
      <c r="A26" s="1">
        <f t="shared" si="0"/>
        <v>25</v>
      </c>
      <c r="B26" s="1">
        <v>2023</v>
      </c>
      <c r="C26" s="1">
        <v>2</v>
      </c>
      <c r="D26" s="1" t="s">
        <v>194</v>
      </c>
      <c r="E26" s="1" t="s">
        <v>131</v>
      </c>
      <c r="F26" s="2" t="s">
        <v>132</v>
      </c>
      <c r="G26" s="1">
        <v>1</v>
      </c>
      <c r="H26" s="11" t="s">
        <v>184</v>
      </c>
      <c r="I26" s="1" t="s">
        <v>400</v>
      </c>
    </row>
    <row r="27" spans="1:9" ht="157.5">
      <c r="A27" s="1">
        <f t="shared" si="0"/>
        <v>26</v>
      </c>
      <c r="B27" s="1">
        <v>2023</v>
      </c>
      <c r="C27" s="1" t="s">
        <v>29</v>
      </c>
      <c r="D27" s="1" t="s">
        <v>195</v>
      </c>
      <c r="E27" s="1" t="s">
        <v>133</v>
      </c>
      <c r="F27" s="2" t="s">
        <v>134</v>
      </c>
      <c r="G27" s="1" t="s">
        <v>135</v>
      </c>
      <c r="H27" s="11" t="s">
        <v>185</v>
      </c>
      <c r="I27" s="1" t="s">
        <v>400</v>
      </c>
    </row>
    <row r="28" spans="1:9" ht="126">
      <c r="A28" s="1">
        <f t="shared" si="0"/>
        <v>27</v>
      </c>
      <c r="B28" s="1">
        <v>2023</v>
      </c>
      <c r="C28" s="1" t="s">
        <v>29</v>
      </c>
      <c r="D28" s="1" t="s">
        <v>195</v>
      </c>
      <c r="E28" s="1" t="s">
        <v>136</v>
      </c>
      <c r="F28" s="2" t="s">
        <v>137</v>
      </c>
      <c r="G28" s="1" t="s">
        <v>138</v>
      </c>
      <c r="H28" s="11" t="s">
        <v>186</v>
      </c>
      <c r="I28" s="1" t="s">
        <v>400</v>
      </c>
    </row>
    <row r="29" spans="1:9" ht="126">
      <c r="A29" s="1">
        <f t="shared" si="0"/>
        <v>28</v>
      </c>
      <c r="B29" s="1">
        <v>2023</v>
      </c>
      <c r="C29" s="1" t="s">
        <v>29</v>
      </c>
      <c r="D29" s="1" t="s">
        <v>195</v>
      </c>
      <c r="E29" s="1" t="s">
        <v>139</v>
      </c>
      <c r="F29" s="2" t="s">
        <v>140</v>
      </c>
      <c r="G29" s="1" t="s">
        <v>141</v>
      </c>
      <c r="H29" s="11" t="s">
        <v>187</v>
      </c>
      <c r="I29" s="1" t="s">
        <v>400</v>
      </c>
    </row>
    <row r="30" spans="1:9" ht="126">
      <c r="A30" s="1">
        <f t="shared" si="0"/>
        <v>29</v>
      </c>
      <c r="B30" s="1">
        <v>2023</v>
      </c>
      <c r="C30" s="1" t="s">
        <v>29</v>
      </c>
      <c r="D30" s="1" t="s">
        <v>195</v>
      </c>
      <c r="E30" s="1" t="s">
        <v>142</v>
      </c>
      <c r="F30" s="2" t="s">
        <v>143</v>
      </c>
      <c r="G30" s="1" t="s">
        <v>144</v>
      </c>
      <c r="H30" s="11" t="s">
        <v>188</v>
      </c>
      <c r="I30" s="1" t="s">
        <v>400</v>
      </c>
    </row>
    <row r="31" spans="1:9" ht="126">
      <c r="A31" s="1">
        <f t="shared" si="0"/>
        <v>30</v>
      </c>
      <c r="B31" s="1">
        <v>2023</v>
      </c>
      <c r="C31" s="1" t="s">
        <v>29</v>
      </c>
      <c r="D31" s="1" t="s">
        <v>195</v>
      </c>
      <c r="E31" s="1" t="s">
        <v>197</v>
      </c>
      <c r="F31" s="2" t="s">
        <v>145</v>
      </c>
      <c r="G31" s="1" t="s">
        <v>141</v>
      </c>
      <c r="H31" s="11" t="s">
        <v>189</v>
      </c>
      <c r="I31" s="1" t="s">
        <v>400</v>
      </c>
    </row>
    <row r="32" spans="1:9" ht="126">
      <c r="A32" s="1">
        <f t="shared" si="0"/>
        <v>31</v>
      </c>
      <c r="B32" s="1">
        <v>2023</v>
      </c>
      <c r="C32" s="1" t="s">
        <v>29</v>
      </c>
      <c r="D32" s="1" t="s">
        <v>195</v>
      </c>
      <c r="E32" s="1" t="s">
        <v>146</v>
      </c>
      <c r="F32" s="2" t="s">
        <v>147</v>
      </c>
      <c r="G32" s="1" t="s">
        <v>148</v>
      </c>
      <c r="H32" s="11" t="s">
        <v>190</v>
      </c>
      <c r="I32" s="1" t="s">
        <v>400</v>
      </c>
    </row>
    <row r="33" spans="1:9" ht="126">
      <c r="A33" s="1">
        <f t="shared" si="0"/>
        <v>32</v>
      </c>
      <c r="B33" s="1">
        <v>2023</v>
      </c>
      <c r="C33" s="1" t="s">
        <v>29</v>
      </c>
      <c r="D33" s="1" t="s">
        <v>195</v>
      </c>
      <c r="E33" s="1" t="s">
        <v>196</v>
      </c>
      <c r="F33" s="2" t="s">
        <v>149</v>
      </c>
      <c r="G33" s="1" t="s">
        <v>150</v>
      </c>
      <c r="H33" s="11" t="s">
        <v>191</v>
      </c>
      <c r="I33" s="1" t="s">
        <v>400</v>
      </c>
    </row>
    <row r="34" spans="1:9" ht="126">
      <c r="A34" s="1">
        <f t="shared" si="0"/>
        <v>33</v>
      </c>
      <c r="B34" s="1">
        <v>2023</v>
      </c>
      <c r="C34" s="1" t="s">
        <v>29</v>
      </c>
      <c r="D34" s="1" t="s">
        <v>195</v>
      </c>
      <c r="E34" s="1" t="s">
        <v>151</v>
      </c>
      <c r="F34" s="2" t="s">
        <v>152</v>
      </c>
      <c r="G34" s="1" t="s">
        <v>153</v>
      </c>
      <c r="H34" s="11" t="s">
        <v>192</v>
      </c>
      <c r="I34" s="1" t="s">
        <v>400</v>
      </c>
    </row>
    <row r="35" spans="1:9" ht="110.25">
      <c r="A35" s="1">
        <f t="shared" si="0"/>
        <v>34</v>
      </c>
      <c r="B35" s="1">
        <v>2025</v>
      </c>
      <c r="C35" s="1">
        <v>2</v>
      </c>
      <c r="D35" s="1" t="s">
        <v>739</v>
      </c>
      <c r="E35" s="1" t="s">
        <v>740</v>
      </c>
      <c r="F35" s="2" t="s">
        <v>784</v>
      </c>
      <c r="G35" s="2">
        <v>1</v>
      </c>
      <c r="H35" s="11" t="s">
        <v>741</v>
      </c>
      <c r="I35" s="1" t="s">
        <v>400</v>
      </c>
    </row>
    <row r="36" spans="1:9" ht="141.75">
      <c r="A36" s="1">
        <f t="shared" si="0"/>
        <v>35</v>
      </c>
      <c r="B36" s="1">
        <v>2025</v>
      </c>
      <c r="C36" s="1">
        <v>2</v>
      </c>
      <c r="D36" s="1" t="s">
        <v>739</v>
      </c>
      <c r="E36" s="1" t="s">
        <v>742</v>
      </c>
      <c r="F36" s="2" t="s">
        <v>785</v>
      </c>
      <c r="G36" s="2">
        <v>2</v>
      </c>
      <c r="H36" s="11" t="s">
        <v>743</v>
      </c>
      <c r="I36" s="1" t="s">
        <v>400</v>
      </c>
    </row>
    <row r="37" spans="1:9" ht="78.75">
      <c r="A37" s="1">
        <f t="shared" si="0"/>
        <v>36</v>
      </c>
      <c r="B37" s="1">
        <v>2025</v>
      </c>
      <c r="C37" s="1">
        <v>2</v>
      </c>
      <c r="D37" s="1" t="s">
        <v>739</v>
      </c>
      <c r="E37" s="1" t="s">
        <v>744</v>
      </c>
      <c r="F37" s="2" t="s">
        <v>786</v>
      </c>
      <c r="G37" s="2">
        <v>4</v>
      </c>
      <c r="H37" s="11" t="s">
        <v>745</v>
      </c>
      <c r="I37" s="1" t="s">
        <v>400</v>
      </c>
    </row>
    <row r="38" spans="1:9" ht="63">
      <c r="A38" s="1">
        <f t="shared" si="0"/>
        <v>37</v>
      </c>
      <c r="B38" s="1">
        <v>2025</v>
      </c>
      <c r="C38" s="1">
        <v>2</v>
      </c>
      <c r="D38" s="1" t="s">
        <v>739</v>
      </c>
      <c r="E38" s="1" t="s">
        <v>746</v>
      </c>
      <c r="F38" s="2" t="s">
        <v>787</v>
      </c>
      <c r="G38" s="2">
        <v>1</v>
      </c>
      <c r="H38" s="11" t="s">
        <v>747</v>
      </c>
      <c r="I38" s="1" t="s">
        <v>400</v>
      </c>
    </row>
    <row r="39" spans="1:9" ht="63">
      <c r="A39" s="1">
        <f t="shared" si="0"/>
        <v>38</v>
      </c>
      <c r="B39" s="1">
        <v>2025</v>
      </c>
      <c r="C39" s="1">
        <v>2</v>
      </c>
      <c r="D39" s="1" t="s">
        <v>739</v>
      </c>
      <c r="E39" s="1" t="s">
        <v>748</v>
      </c>
      <c r="F39" s="2" t="s">
        <v>788</v>
      </c>
      <c r="G39" s="2">
        <v>2</v>
      </c>
      <c r="H39" s="11" t="s">
        <v>749</v>
      </c>
      <c r="I39" s="1" t="s">
        <v>400</v>
      </c>
    </row>
    <row r="40" spans="1:9" ht="63">
      <c r="A40" s="1">
        <f t="shared" si="0"/>
        <v>39</v>
      </c>
      <c r="B40" s="1">
        <v>2025</v>
      </c>
      <c r="C40" s="1">
        <v>2</v>
      </c>
      <c r="D40" s="1" t="s">
        <v>739</v>
      </c>
      <c r="E40" s="1" t="s">
        <v>750</v>
      </c>
      <c r="F40" s="2" t="s">
        <v>789</v>
      </c>
      <c r="G40" s="2">
        <v>2</v>
      </c>
      <c r="H40" s="11" t="s">
        <v>751</v>
      </c>
      <c r="I40" s="1" t="s">
        <v>400</v>
      </c>
    </row>
    <row r="41" spans="1:9" ht="63">
      <c r="A41" s="1">
        <f t="shared" si="0"/>
        <v>40</v>
      </c>
      <c r="B41" s="1">
        <v>2025</v>
      </c>
      <c r="C41" s="1">
        <v>2</v>
      </c>
      <c r="D41" s="1" t="s">
        <v>739</v>
      </c>
      <c r="E41" s="1" t="s">
        <v>752</v>
      </c>
      <c r="F41" s="2" t="s">
        <v>790</v>
      </c>
      <c r="G41" s="2">
        <v>4</v>
      </c>
      <c r="H41" s="11" t="s">
        <v>753</v>
      </c>
      <c r="I41" s="1" t="s">
        <v>400</v>
      </c>
    </row>
    <row r="42" spans="1:9" ht="63">
      <c r="A42" s="1">
        <f t="shared" si="0"/>
        <v>41</v>
      </c>
      <c r="B42" s="1">
        <v>2025</v>
      </c>
      <c r="C42" s="1">
        <v>2</v>
      </c>
      <c r="D42" s="1" t="s">
        <v>739</v>
      </c>
      <c r="E42" s="1" t="s">
        <v>754</v>
      </c>
      <c r="F42" s="2" t="s">
        <v>791</v>
      </c>
      <c r="G42" s="2">
        <v>4</v>
      </c>
      <c r="H42" s="11" t="s">
        <v>755</v>
      </c>
      <c r="I42" s="1" t="s">
        <v>400</v>
      </c>
    </row>
    <row r="43" spans="1:9" ht="63">
      <c r="A43" s="1">
        <f t="shared" si="0"/>
        <v>42</v>
      </c>
      <c r="B43" s="1">
        <v>2025</v>
      </c>
      <c r="C43" s="1">
        <v>2</v>
      </c>
      <c r="D43" s="1" t="s">
        <v>739</v>
      </c>
      <c r="E43" s="1" t="s">
        <v>756</v>
      </c>
      <c r="F43" s="2" t="s">
        <v>792</v>
      </c>
      <c r="G43" s="2">
        <v>4</v>
      </c>
      <c r="H43" s="11" t="s">
        <v>757</v>
      </c>
      <c r="I43" s="1" t="s">
        <v>400</v>
      </c>
    </row>
    <row r="44" spans="1:9" ht="63">
      <c r="A44" s="1">
        <f t="shared" si="0"/>
        <v>43</v>
      </c>
      <c r="B44" s="1">
        <v>2025</v>
      </c>
      <c r="C44" s="1">
        <v>2</v>
      </c>
      <c r="D44" s="1" t="s">
        <v>739</v>
      </c>
      <c r="E44" s="1" t="s">
        <v>758</v>
      </c>
      <c r="F44" s="2" t="s">
        <v>793</v>
      </c>
      <c r="G44" s="2">
        <v>3</v>
      </c>
      <c r="H44" s="11" t="s">
        <v>759</v>
      </c>
      <c r="I44" s="1" t="s">
        <v>400</v>
      </c>
    </row>
    <row r="45" spans="1:9" ht="63">
      <c r="A45" s="1">
        <f t="shared" si="0"/>
        <v>44</v>
      </c>
      <c r="B45" s="1">
        <v>2025</v>
      </c>
      <c r="C45" s="1">
        <v>2</v>
      </c>
      <c r="D45" s="1" t="s">
        <v>739</v>
      </c>
      <c r="E45" s="1" t="s">
        <v>760</v>
      </c>
      <c r="F45" s="2" t="s">
        <v>794</v>
      </c>
      <c r="G45" s="2">
        <v>4</v>
      </c>
      <c r="H45" s="11" t="s">
        <v>761</v>
      </c>
      <c r="I45" s="1" t="s">
        <v>400</v>
      </c>
    </row>
    <row r="46" spans="1:9" ht="63">
      <c r="A46" s="1">
        <f t="shared" si="0"/>
        <v>45</v>
      </c>
      <c r="B46" s="1">
        <v>2025</v>
      </c>
      <c r="C46" s="1">
        <v>2</v>
      </c>
      <c r="D46" s="1" t="s">
        <v>739</v>
      </c>
      <c r="E46" s="1" t="s">
        <v>762</v>
      </c>
      <c r="F46" s="2" t="s">
        <v>795</v>
      </c>
      <c r="G46" s="2">
        <v>3</v>
      </c>
      <c r="H46" s="11" t="s">
        <v>763</v>
      </c>
      <c r="I46" s="1" t="s">
        <v>400</v>
      </c>
    </row>
    <row r="47" spans="1:9" ht="126">
      <c r="A47" s="1">
        <f t="shared" si="0"/>
        <v>46</v>
      </c>
      <c r="B47" s="1">
        <v>2025</v>
      </c>
      <c r="C47" s="1">
        <v>2</v>
      </c>
      <c r="D47" s="1" t="s">
        <v>739</v>
      </c>
      <c r="E47" s="1" t="s">
        <v>764</v>
      </c>
      <c r="F47" s="2" t="s">
        <v>796</v>
      </c>
      <c r="G47" s="2">
        <v>2</v>
      </c>
      <c r="H47" s="11" t="s">
        <v>765</v>
      </c>
      <c r="I47" s="1" t="s">
        <v>400</v>
      </c>
    </row>
    <row r="48" spans="1:9" ht="63">
      <c r="A48" s="1">
        <f t="shared" si="0"/>
        <v>47</v>
      </c>
      <c r="B48" s="1">
        <v>2025</v>
      </c>
      <c r="C48" s="1">
        <v>2</v>
      </c>
      <c r="D48" s="1" t="s">
        <v>739</v>
      </c>
      <c r="E48" s="1" t="s">
        <v>766</v>
      </c>
      <c r="F48" s="2" t="s">
        <v>797</v>
      </c>
      <c r="G48" s="2">
        <v>3</v>
      </c>
      <c r="H48" s="11" t="s">
        <v>767</v>
      </c>
      <c r="I48" s="1" t="s">
        <v>400</v>
      </c>
    </row>
    <row r="49" spans="1:9" ht="63">
      <c r="A49" s="1">
        <f t="shared" si="0"/>
        <v>48</v>
      </c>
      <c r="B49" s="1">
        <v>2025</v>
      </c>
      <c r="C49" s="1">
        <v>2</v>
      </c>
      <c r="D49" s="1" t="s">
        <v>739</v>
      </c>
      <c r="E49" s="1" t="s">
        <v>768</v>
      </c>
      <c r="F49" s="2" t="s">
        <v>798</v>
      </c>
      <c r="G49" s="2">
        <v>3</v>
      </c>
      <c r="H49" s="11" t="s">
        <v>769</v>
      </c>
      <c r="I49" s="1" t="s">
        <v>400</v>
      </c>
    </row>
    <row r="50" spans="1:9" ht="63">
      <c r="A50" s="1">
        <f t="shared" si="0"/>
        <v>49</v>
      </c>
      <c r="B50" s="1">
        <v>2025</v>
      </c>
      <c r="C50" s="1">
        <v>2</v>
      </c>
      <c r="D50" s="1" t="s">
        <v>739</v>
      </c>
      <c r="E50" s="1" t="s">
        <v>771</v>
      </c>
      <c r="F50" s="2" t="s">
        <v>799</v>
      </c>
      <c r="G50" s="2">
        <v>1</v>
      </c>
      <c r="H50" s="11" t="s">
        <v>770</v>
      </c>
      <c r="I50" s="1" t="s">
        <v>400</v>
      </c>
    </row>
    <row r="51" spans="1:9" ht="63">
      <c r="A51" s="1">
        <f t="shared" si="0"/>
        <v>50</v>
      </c>
      <c r="B51" s="1">
        <v>2025</v>
      </c>
      <c r="C51" s="1">
        <v>2</v>
      </c>
      <c r="D51" s="1" t="s">
        <v>739</v>
      </c>
      <c r="E51" s="1" t="s">
        <v>772</v>
      </c>
      <c r="F51" s="2" t="s">
        <v>800</v>
      </c>
      <c r="G51" s="2">
        <v>3</v>
      </c>
      <c r="H51" s="11" t="s">
        <v>773</v>
      </c>
      <c r="I51" s="1" t="s">
        <v>400</v>
      </c>
    </row>
    <row r="52" spans="1:9" ht="110.25">
      <c r="A52" s="1">
        <f t="shared" si="0"/>
        <v>51</v>
      </c>
      <c r="B52" s="1">
        <v>2025</v>
      </c>
      <c r="C52" s="1">
        <v>2</v>
      </c>
      <c r="D52" s="1" t="s">
        <v>739</v>
      </c>
      <c r="E52" s="1" t="s">
        <v>774</v>
      </c>
      <c r="F52" s="2" t="s">
        <v>801</v>
      </c>
      <c r="G52" s="2">
        <v>4</v>
      </c>
      <c r="H52" s="11" t="s">
        <v>775</v>
      </c>
      <c r="I52" s="1" t="s">
        <v>400</v>
      </c>
    </row>
    <row r="53" spans="1:9" ht="63">
      <c r="A53" s="1">
        <f t="shared" si="0"/>
        <v>52</v>
      </c>
      <c r="B53" s="1">
        <v>2025</v>
      </c>
      <c r="C53" s="1">
        <v>2</v>
      </c>
      <c r="D53" s="1" t="s">
        <v>739</v>
      </c>
      <c r="E53" s="1" t="s">
        <v>776</v>
      </c>
      <c r="F53" s="2" t="s">
        <v>802</v>
      </c>
      <c r="G53" s="2">
        <v>1</v>
      </c>
      <c r="H53" s="11" t="s">
        <v>777</v>
      </c>
      <c r="I53" s="1" t="s">
        <v>400</v>
      </c>
    </row>
    <row r="54" spans="1:9" ht="63">
      <c r="A54" s="1">
        <f t="shared" si="0"/>
        <v>53</v>
      </c>
      <c r="B54" s="1">
        <v>2025</v>
      </c>
      <c r="C54" s="1">
        <v>2</v>
      </c>
      <c r="D54" s="1" t="s">
        <v>739</v>
      </c>
      <c r="E54" s="1" t="s">
        <v>778</v>
      </c>
      <c r="F54" s="2" t="s">
        <v>803</v>
      </c>
      <c r="G54" s="2">
        <v>2</v>
      </c>
      <c r="H54" s="11" t="s">
        <v>779</v>
      </c>
      <c r="I54" s="1" t="s">
        <v>400</v>
      </c>
    </row>
    <row r="55" spans="1:9" ht="94.5">
      <c r="A55" s="1">
        <f t="shared" si="0"/>
        <v>54</v>
      </c>
      <c r="B55" s="1">
        <v>2025</v>
      </c>
      <c r="C55" s="1">
        <v>2</v>
      </c>
      <c r="D55" s="1" t="s">
        <v>739</v>
      </c>
      <c r="E55" s="1" t="s">
        <v>780</v>
      </c>
      <c r="F55" s="2" t="s">
        <v>804</v>
      </c>
      <c r="G55" s="2">
        <v>3</v>
      </c>
      <c r="H55" s="11" t="s">
        <v>781</v>
      </c>
      <c r="I55" s="1" t="s">
        <v>400</v>
      </c>
    </row>
    <row r="56" spans="1:9" ht="63">
      <c r="A56" s="1">
        <f t="shared" si="0"/>
        <v>55</v>
      </c>
      <c r="B56" s="1">
        <v>2025</v>
      </c>
      <c r="C56" s="1">
        <v>2</v>
      </c>
      <c r="D56" s="1" t="s">
        <v>739</v>
      </c>
      <c r="E56" s="1" t="s">
        <v>782</v>
      </c>
      <c r="F56" s="2" t="s">
        <v>805</v>
      </c>
      <c r="G56" s="2">
        <v>1</v>
      </c>
      <c r="H56" s="11" t="s">
        <v>783</v>
      </c>
      <c r="I56" s="1" t="s">
        <v>400</v>
      </c>
    </row>
    <row r="57" spans="1:9" ht="157.5">
      <c r="A57" s="1">
        <f t="shared" si="0"/>
        <v>56</v>
      </c>
      <c r="B57" s="1">
        <v>2025</v>
      </c>
      <c r="C57" s="1" t="s">
        <v>29</v>
      </c>
      <c r="D57" s="1" t="s">
        <v>811</v>
      </c>
      <c r="E57" s="1" t="s">
        <v>814</v>
      </c>
      <c r="F57" s="2" t="s">
        <v>812</v>
      </c>
      <c r="G57" s="1" t="s">
        <v>806</v>
      </c>
      <c r="H57" s="11" t="s">
        <v>807</v>
      </c>
      <c r="I57" s="1" t="s">
        <v>400</v>
      </c>
    </row>
    <row r="58" spans="1:9" ht="126">
      <c r="A58" s="1">
        <f t="shared" si="0"/>
        <v>57</v>
      </c>
      <c r="B58" s="1">
        <v>2025</v>
      </c>
      <c r="C58" s="1" t="s">
        <v>29</v>
      </c>
      <c r="D58" s="1" t="s">
        <v>811</v>
      </c>
      <c r="E58" s="1" t="s">
        <v>815</v>
      </c>
      <c r="F58" s="2" t="s">
        <v>813</v>
      </c>
      <c r="G58" s="1" t="s">
        <v>816</v>
      </c>
      <c r="H58" s="11" t="s">
        <v>808</v>
      </c>
      <c r="I58" s="1" t="s">
        <v>400</v>
      </c>
    </row>
    <row r="59" spans="1:9" ht="157.5">
      <c r="A59" s="1">
        <f t="shared" si="0"/>
        <v>58</v>
      </c>
      <c r="B59" s="1">
        <v>2025</v>
      </c>
      <c r="C59" s="1" t="s">
        <v>29</v>
      </c>
      <c r="D59" s="1" t="s">
        <v>811</v>
      </c>
      <c r="E59" s="1" t="s">
        <v>817</v>
      </c>
      <c r="F59" s="2" t="s">
        <v>818</v>
      </c>
      <c r="G59" s="1" t="s">
        <v>819</v>
      </c>
      <c r="H59" s="11" t="s">
        <v>820</v>
      </c>
      <c r="I59" s="1" t="s">
        <v>400</v>
      </c>
    </row>
    <row r="60" spans="1:9" ht="141.75">
      <c r="A60" s="1">
        <f t="shared" si="0"/>
        <v>59</v>
      </c>
      <c r="B60" s="1">
        <v>2025</v>
      </c>
      <c r="C60" s="1" t="s">
        <v>29</v>
      </c>
      <c r="D60" s="1" t="s">
        <v>811</v>
      </c>
      <c r="E60" s="1" t="s">
        <v>821</v>
      </c>
      <c r="F60" s="2" t="s">
        <v>834</v>
      </c>
      <c r="G60" s="1" t="s">
        <v>822</v>
      </c>
      <c r="H60" s="11" t="s">
        <v>823</v>
      </c>
      <c r="I60" s="1" t="s">
        <v>400</v>
      </c>
    </row>
    <row r="61" spans="1:9" ht="126">
      <c r="A61" s="1">
        <f t="shared" si="0"/>
        <v>60</v>
      </c>
      <c r="B61" s="1">
        <v>2025</v>
      </c>
      <c r="C61" s="1" t="s">
        <v>29</v>
      </c>
      <c r="D61" s="1" t="s">
        <v>811</v>
      </c>
      <c r="E61" s="1" t="s">
        <v>824</v>
      </c>
      <c r="F61" s="2" t="s">
        <v>835</v>
      </c>
      <c r="G61" s="1" t="s">
        <v>825</v>
      </c>
      <c r="H61" s="11" t="s">
        <v>826</v>
      </c>
      <c r="I61" s="1" t="s">
        <v>400</v>
      </c>
    </row>
    <row r="62" spans="1:9" ht="126">
      <c r="A62" s="1">
        <f t="shared" si="0"/>
        <v>61</v>
      </c>
      <c r="B62" s="1">
        <v>2025</v>
      </c>
      <c r="C62" s="1" t="s">
        <v>29</v>
      </c>
      <c r="D62" s="1" t="s">
        <v>811</v>
      </c>
      <c r="E62" s="1" t="s">
        <v>827</v>
      </c>
      <c r="F62" s="2" t="s">
        <v>836</v>
      </c>
      <c r="G62" s="1" t="s">
        <v>809</v>
      </c>
      <c r="H62" s="11" t="s">
        <v>828</v>
      </c>
      <c r="I62" s="1" t="s">
        <v>400</v>
      </c>
    </row>
    <row r="63" spans="1:9" ht="157.5">
      <c r="A63" s="1">
        <f t="shared" si="0"/>
        <v>62</v>
      </c>
      <c r="B63" s="1">
        <v>2025</v>
      </c>
      <c r="C63" s="1" t="s">
        <v>29</v>
      </c>
      <c r="D63" s="1" t="s">
        <v>811</v>
      </c>
      <c r="E63" s="1" t="s">
        <v>829</v>
      </c>
      <c r="F63" s="2" t="s">
        <v>837</v>
      </c>
      <c r="G63" s="1" t="s">
        <v>830</v>
      </c>
      <c r="H63" s="11" t="s">
        <v>831</v>
      </c>
      <c r="I63" s="1" t="s">
        <v>400</v>
      </c>
    </row>
    <row r="64" spans="1:9" ht="126">
      <c r="A64" s="1">
        <f t="shared" si="0"/>
        <v>63</v>
      </c>
      <c r="B64" s="1">
        <v>2025</v>
      </c>
      <c r="C64" s="1" t="s">
        <v>29</v>
      </c>
      <c r="D64" s="1" t="s">
        <v>811</v>
      </c>
      <c r="E64" s="1" t="s">
        <v>832</v>
      </c>
      <c r="F64" s="2" t="s">
        <v>838</v>
      </c>
      <c r="G64" s="1" t="s">
        <v>810</v>
      </c>
      <c r="H64" s="11" t="s">
        <v>833</v>
      </c>
      <c r="I64" s="1" t="s">
        <v>400</v>
      </c>
    </row>
    <row r="65" spans="1:9" ht="378">
      <c r="A65" s="1">
        <f t="shared" si="0"/>
        <v>64</v>
      </c>
      <c r="B65" s="1">
        <v>2025</v>
      </c>
      <c r="C65" s="1">
        <v>1</v>
      </c>
      <c r="D65" s="1" t="s">
        <v>839</v>
      </c>
      <c r="E65" s="1" t="s">
        <v>840</v>
      </c>
      <c r="F65" s="1"/>
      <c r="G65" s="1"/>
      <c r="H65" s="11" t="s">
        <v>1056</v>
      </c>
      <c r="I65" s="1" t="s">
        <v>400</v>
      </c>
    </row>
    <row r="66" spans="1:9" ht="409.5">
      <c r="A66" s="1">
        <f t="shared" si="0"/>
        <v>65</v>
      </c>
      <c r="B66" s="1">
        <v>2022</v>
      </c>
      <c r="C66" s="1">
        <v>1</v>
      </c>
      <c r="D66" s="1" t="s">
        <v>839</v>
      </c>
      <c r="E66" s="1" t="s">
        <v>1048</v>
      </c>
      <c r="F66" s="1"/>
      <c r="G66" s="1"/>
      <c r="H66" s="11" t="s">
        <v>1057</v>
      </c>
      <c r="I66" s="1" t="s">
        <v>400</v>
      </c>
    </row>
    <row r="67" spans="1:9" ht="409.5">
      <c r="A67" s="1">
        <f t="shared" ref="A67:A73" si="1">ROW()-1</f>
        <v>66</v>
      </c>
      <c r="B67" s="1">
        <v>2021</v>
      </c>
      <c r="C67" s="1">
        <v>1</v>
      </c>
      <c r="D67" s="1" t="s">
        <v>839</v>
      </c>
      <c r="E67" s="1" t="s">
        <v>1049</v>
      </c>
      <c r="F67" s="1"/>
      <c r="G67" s="1"/>
      <c r="H67" s="11" t="s">
        <v>1058</v>
      </c>
      <c r="I67" s="1" t="s">
        <v>400</v>
      </c>
    </row>
    <row r="68" spans="1:9" ht="409.5">
      <c r="A68" s="1">
        <f t="shared" si="1"/>
        <v>67</v>
      </c>
      <c r="B68" s="1">
        <v>2020</v>
      </c>
      <c r="C68" s="1">
        <v>1</v>
      </c>
      <c r="D68" s="1" t="s">
        <v>839</v>
      </c>
      <c r="E68" s="1" t="s">
        <v>1050</v>
      </c>
      <c r="F68" s="1"/>
      <c r="G68" s="1"/>
      <c r="H68" s="11" t="s">
        <v>1059</v>
      </c>
      <c r="I68" s="1" t="s">
        <v>400</v>
      </c>
    </row>
    <row r="69" spans="1:9" ht="409.5">
      <c r="A69" s="1">
        <f t="shared" si="1"/>
        <v>68</v>
      </c>
      <c r="B69" s="1">
        <v>2019</v>
      </c>
      <c r="C69" s="1">
        <v>1</v>
      </c>
      <c r="D69" s="1" t="s">
        <v>839</v>
      </c>
      <c r="E69" s="1" t="s">
        <v>1051</v>
      </c>
      <c r="F69" s="1"/>
      <c r="G69" s="1"/>
      <c r="H69" s="11" t="s">
        <v>1060</v>
      </c>
      <c r="I69" s="1" t="s">
        <v>400</v>
      </c>
    </row>
    <row r="70" spans="1:9" ht="409.5">
      <c r="A70" s="1">
        <f t="shared" si="0"/>
        <v>69</v>
      </c>
      <c r="B70" s="1">
        <v>2018</v>
      </c>
      <c r="C70" s="1">
        <v>1</v>
      </c>
      <c r="D70" s="1" t="s">
        <v>839</v>
      </c>
      <c r="E70" s="1" t="s">
        <v>1047</v>
      </c>
      <c r="F70" s="1"/>
      <c r="G70" s="1"/>
      <c r="H70" s="11" t="s">
        <v>1061</v>
      </c>
      <c r="I70" s="1" t="s">
        <v>400</v>
      </c>
    </row>
    <row r="71" spans="1:9" ht="409.5">
      <c r="A71" s="1">
        <f t="shared" si="1"/>
        <v>70</v>
      </c>
      <c r="B71" s="1">
        <v>2017</v>
      </c>
      <c r="C71" s="1">
        <v>1</v>
      </c>
      <c r="D71" s="1" t="s">
        <v>839</v>
      </c>
      <c r="E71" s="1" t="s">
        <v>1052</v>
      </c>
      <c r="F71" s="1"/>
      <c r="G71" s="1"/>
      <c r="H71" s="11" t="s">
        <v>1062</v>
      </c>
      <c r="I71" s="1" t="s">
        <v>400</v>
      </c>
    </row>
    <row r="72" spans="1:9" ht="409.5">
      <c r="A72" s="1">
        <f t="shared" si="1"/>
        <v>71</v>
      </c>
      <c r="B72" s="1">
        <v>2016</v>
      </c>
      <c r="C72" s="1">
        <v>1</v>
      </c>
      <c r="D72" s="1" t="s">
        <v>839</v>
      </c>
      <c r="E72" s="1" t="s">
        <v>1053</v>
      </c>
      <c r="F72" s="1"/>
      <c r="G72" s="1"/>
      <c r="H72" s="11" t="s">
        <v>1063</v>
      </c>
      <c r="I72" s="1" t="s">
        <v>400</v>
      </c>
    </row>
    <row r="73" spans="1:9" ht="409.5">
      <c r="A73" s="1">
        <f t="shared" si="1"/>
        <v>72</v>
      </c>
      <c r="B73" s="1">
        <v>2015</v>
      </c>
      <c r="C73" s="1">
        <v>1</v>
      </c>
      <c r="D73" s="1" t="s">
        <v>839</v>
      </c>
      <c r="E73" s="1" t="s">
        <v>1054</v>
      </c>
      <c r="F73" s="1"/>
      <c r="G73" s="1"/>
      <c r="H73" s="11" t="s">
        <v>1064</v>
      </c>
      <c r="I73" s="1" t="s">
        <v>400</v>
      </c>
    </row>
  </sheetData>
  <autoFilter ref="A1:I65" xr:uid="{00000000-0001-0000-0000-000000000000}"/>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98671-AD70-4AF0-8523-5F2773E14E40}">
  <sheetPr codeName="Sheet5"/>
  <dimension ref="A1:L78"/>
  <sheetViews>
    <sheetView showGridLines="0" topLeftCell="A55" workbookViewId="0">
      <selection activeCell="L2" sqref="L2:L55"/>
    </sheetView>
  </sheetViews>
  <sheetFormatPr defaultRowHeight="18.75"/>
  <sheetData>
    <row r="1" spans="1:12">
      <c r="A1" t="s">
        <v>406</v>
      </c>
      <c r="L1" t="s">
        <v>518</v>
      </c>
    </row>
    <row r="2" spans="1:12">
      <c r="A2" t="s">
        <v>73</v>
      </c>
      <c r="L2" t="s">
        <v>475</v>
      </c>
    </row>
    <row r="3" spans="1:12">
      <c r="A3" t="s">
        <v>73</v>
      </c>
    </row>
    <row r="4" spans="1:12">
      <c r="A4" t="s">
        <v>73</v>
      </c>
      <c r="L4" t="s">
        <v>476</v>
      </c>
    </row>
    <row r="5" spans="1:12">
      <c r="A5" t="s">
        <v>73</v>
      </c>
      <c r="L5" t="s">
        <v>477</v>
      </c>
    </row>
    <row r="6" spans="1:12">
      <c r="A6" t="s">
        <v>73</v>
      </c>
      <c r="L6" t="s">
        <v>478</v>
      </c>
    </row>
    <row r="7" spans="1:12">
      <c r="A7" t="s">
        <v>73</v>
      </c>
      <c r="L7" t="s">
        <v>479</v>
      </c>
    </row>
    <row r="8" spans="1:12">
      <c r="A8" t="s">
        <v>73</v>
      </c>
      <c r="L8" t="s">
        <v>480</v>
      </c>
    </row>
    <row r="9" spans="1:12">
      <c r="A9" t="s">
        <v>73</v>
      </c>
      <c r="L9" t="s">
        <v>481</v>
      </c>
    </row>
    <row r="10" spans="1:12">
      <c r="A10" t="s">
        <v>73</v>
      </c>
      <c r="L10" t="s">
        <v>482</v>
      </c>
    </row>
    <row r="11" spans="1:12">
      <c r="A11" t="s">
        <v>73</v>
      </c>
    </row>
    <row r="12" spans="1:12">
      <c r="A12" t="s">
        <v>401</v>
      </c>
      <c r="L12" t="s">
        <v>483</v>
      </c>
    </row>
    <row r="13" spans="1:12">
      <c r="A13" t="s">
        <v>401</v>
      </c>
    </row>
    <row r="14" spans="1:12">
      <c r="A14" t="s">
        <v>401</v>
      </c>
      <c r="L14" t="s">
        <v>484</v>
      </c>
    </row>
    <row r="15" spans="1:12">
      <c r="A15" t="s">
        <v>401</v>
      </c>
      <c r="L15" t="s">
        <v>485</v>
      </c>
    </row>
    <row r="16" spans="1:12">
      <c r="A16" t="s">
        <v>401</v>
      </c>
      <c r="L16" t="s">
        <v>486</v>
      </c>
    </row>
    <row r="17" spans="1:12">
      <c r="A17" t="s">
        <v>401</v>
      </c>
      <c r="L17" t="s">
        <v>487</v>
      </c>
    </row>
    <row r="18" spans="1:12">
      <c r="A18" t="s">
        <v>401</v>
      </c>
      <c r="L18" t="s">
        <v>488</v>
      </c>
    </row>
    <row r="19" spans="1:12">
      <c r="A19" t="s">
        <v>401</v>
      </c>
    </row>
    <row r="20" spans="1:12">
      <c r="A20" t="s">
        <v>401</v>
      </c>
      <c r="L20" t="s">
        <v>489</v>
      </c>
    </row>
    <row r="21" spans="1:12">
      <c r="A21" t="s">
        <v>401</v>
      </c>
      <c r="L21" t="s">
        <v>490</v>
      </c>
    </row>
    <row r="22" spans="1:12">
      <c r="A22" t="s">
        <v>401</v>
      </c>
      <c r="L22" t="s">
        <v>491</v>
      </c>
    </row>
    <row r="23" spans="1:12">
      <c r="A23" t="s">
        <v>401</v>
      </c>
    </row>
    <row r="24" spans="1:12">
      <c r="A24" t="s">
        <v>401</v>
      </c>
      <c r="L24" t="s">
        <v>492</v>
      </c>
    </row>
    <row r="25" spans="1:12">
      <c r="A25" t="s">
        <v>402</v>
      </c>
    </row>
    <row r="26" spans="1:12">
      <c r="A26" t="s">
        <v>402</v>
      </c>
      <c r="L26" t="s">
        <v>493</v>
      </c>
    </row>
    <row r="27" spans="1:12">
      <c r="A27" t="s">
        <v>402</v>
      </c>
      <c r="L27" t="s">
        <v>494</v>
      </c>
    </row>
    <row r="28" spans="1:12">
      <c r="A28" t="s">
        <v>402</v>
      </c>
      <c r="L28" t="s">
        <v>495</v>
      </c>
    </row>
    <row r="29" spans="1:12">
      <c r="A29" t="s">
        <v>402</v>
      </c>
      <c r="L29" t="s">
        <v>496</v>
      </c>
    </row>
    <row r="30" spans="1:12">
      <c r="A30" t="s">
        <v>402</v>
      </c>
      <c r="L30" t="s">
        <v>497</v>
      </c>
    </row>
    <row r="31" spans="1:12">
      <c r="A31" t="s">
        <v>402</v>
      </c>
    </row>
    <row r="32" spans="1:12">
      <c r="A32" t="s">
        <v>402</v>
      </c>
      <c r="L32" t="s">
        <v>498</v>
      </c>
    </row>
    <row r="33" spans="1:12">
      <c r="A33" t="s">
        <v>402</v>
      </c>
      <c r="L33" t="s">
        <v>499</v>
      </c>
    </row>
    <row r="34" spans="1:12">
      <c r="A34" t="s">
        <v>402</v>
      </c>
      <c r="L34" t="s">
        <v>500</v>
      </c>
    </row>
    <row r="35" spans="1:12">
      <c r="A35" t="s">
        <v>402</v>
      </c>
    </row>
    <row r="36" spans="1:12">
      <c r="A36" t="s">
        <v>402</v>
      </c>
      <c r="L36" t="s">
        <v>501</v>
      </c>
    </row>
    <row r="37" spans="1:12">
      <c r="A37" t="s">
        <v>402</v>
      </c>
      <c r="L37" t="s">
        <v>502</v>
      </c>
    </row>
    <row r="38" spans="1:12">
      <c r="A38" t="s">
        <v>402</v>
      </c>
      <c r="L38" t="s">
        <v>503</v>
      </c>
    </row>
    <row r="39" spans="1:12">
      <c r="A39" t="s">
        <v>402</v>
      </c>
      <c r="L39" t="s">
        <v>504</v>
      </c>
    </row>
    <row r="40" spans="1:12">
      <c r="A40" t="s">
        <v>402</v>
      </c>
      <c r="L40" t="s">
        <v>505</v>
      </c>
    </row>
    <row r="41" spans="1:12">
      <c r="A41" t="s">
        <v>403</v>
      </c>
      <c r="L41" t="s">
        <v>506</v>
      </c>
    </row>
    <row r="42" spans="1:12">
      <c r="A42" t="s">
        <v>403</v>
      </c>
      <c r="L42" t="s">
        <v>507</v>
      </c>
    </row>
    <row r="43" spans="1:12">
      <c r="A43" t="s">
        <v>403</v>
      </c>
      <c r="L43" t="s">
        <v>508</v>
      </c>
    </row>
    <row r="44" spans="1:12">
      <c r="A44" t="s">
        <v>403</v>
      </c>
      <c r="L44" t="s">
        <v>507</v>
      </c>
    </row>
    <row r="45" spans="1:12">
      <c r="A45" t="s">
        <v>403</v>
      </c>
      <c r="L45" t="s">
        <v>509</v>
      </c>
    </row>
    <row r="46" spans="1:12">
      <c r="A46" t="s">
        <v>403</v>
      </c>
      <c r="L46" t="s">
        <v>510</v>
      </c>
    </row>
    <row r="47" spans="1:12">
      <c r="A47" t="s">
        <v>403</v>
      </c>
    </row>
    <row r="48" spans="1:12">
      <c r="A48" t="s">
        <v>403</v>
      </c>
      <c r="L48" t="s">
        <v>511</v>
      </c>
    </row>
    <row r="49" spans="1:12">
      <c r="A49" t="s">
        <v>403</v>
      </c>
      <c r="L49" t="s">
        <v>512</v>
      </c>
    </row>
    <row r="50" spans="1:12">
      <c r="A50" t="s">
        <v>403</v>
      </c>
      <c r="L50" t="s">
        <v>513</v>
      </c>
    </row>
    <row r="51" spans="1:12">
      <c r="A51" t="s">
        <v>403</v>
      </c>
      <c r="L51" t="s">
        <v>514</v>
      </c>
    </row>
    <row r="52" spans="1:12">
      <c r="A52" t="s">
        <v>403</v>
      </c>
    </row>
    <row r="53" spans="1:12">
      <c r="A53" t="s">
        <v>403</v>
      </c>
      <c r="L53" t="s">
        <v>515</v>
      </c>
    </row>
    <row r="54" spans="1:12">
      <c r="A54" t="s">
        <v>403</v>
      </c>
      <c r="L54" t="s">
        <v>516</v>
      </c>
    </row>
    <row r="55" spans="1:12">
      <c r="A55" t="s">
        <v>404</v>
      </c>
      <c r="L55" t="s">
        <v>517</v>
      </c>
    </row>
    <row r="56" spans="1:12">
      <c r="A56" t="s">
        <v>404</v>
      </c>
    </row>
    <row r="57" spans="1:12">
      <c r="A57" t="s">
        <v>404</v>
      </c>
    </row>
    <row r="58" spans="1:12">
      <c r="A58" t="s">
        <v>404</v>
      </c>
    </row>
    <row r="59" spans="1:12">
      <c r="A59" t="s">
        <v>404</v>
      </c>
    </row>
    <row r="60" spans="1:12">
      <c r="A60" t="s">
        <v>404</v>
      </c>
    </row>
    <row r="61" spans="1:12">
      <c r="A61" t="s">
        <v>404</v>
      </c>
    </row>
    <row r="62" spans="1:12">
      <c r="A62" t="s">
        <v>404</v>
      </c>
    </row>
    <row r="63" spans="1:12">
      <c r="A63" t="s">
        <v>404</v>
      </c>
    </row>
    <row r="64" spans="1:12">
      <c r="A64" t="s">
        <v>404</v>
      </c>
    </row>
    <row r="65" spans="1:1">
      <c r="A65" t="s">
        <v>404</v>
      </c>
    </row>
    <row r="66" spans="1:1">
      <c r="A66" t="s">
        <v>404</v>
      </c>
    </row>
    <row r="67" spans="1:1">
      <c r="A67" t="s">
        <v>405</v>
      </c>
    </row>
    <row r="68" spans="1:1">
      <c r="A68" t="s">
        <v>405</v>
      </c>
    </row>
    <row r="69" spans="1:1">
      <c r="A69" t="s">
        <v>405</v>
      </c>
    </row>
    <row r="70" spans="1:1">
      <c r="A70" t="s">
        <v>405</v>
      </c>
    </row>
    <row r="71" spans="1:1">
      <c r="A71" t="s">
        <v>405</v>
      </c>
    </row>
    <row r="72" spans="1:1">
      <c r="A72" t="s">
        <v>405</v>
      </c>
    </row>
    <row r="73" spans="1:1">
      <c r="A73" t="s">
        <v>405</v>
      </c>
    </row>
    <row r="74" spans="1:1">
      <c r="A74" t="s">
        <v>405</v>
      </c>
    </row>
    <row r="75" spans="1:1">
      <c r="A75" t="s">
        <v>405</v>
      </c>
    </row>
    <row r="76" spans="1:1">
      <c r="A76" t="s">
        <v>405</v>
      </c>
    </row>
    <row r="77" spans="1:1">
      <c r="A77" t="s">
        <v>405</v>
      </c>
    </row>
    <row r="78" spans="1:1">
      <c r="A78" t="s">
        <v>405</v>
      </c>
    </row>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19262B-D94E-402E-A6C8-D9C0A59885AD}">
  <sheetPr filterMode="1"/>
  <dimension ref="C3:D23"/>
  <sheetViews>
    <sheetView workbookViewId="0">
      <selection activeCell="C20" sqref="C20"/>
    </sheetView>
  </sheetViews>
  <sheetFormatPr defaultRowHeight="18.75"/>
  <cols>
    <col min="3" max="3" width="44" bestFit="1" customWidth="1"/>
    <col min="4" max="4" width="46" bestFit="1" customWidth="1"/>
  </cols>
  <sheetData>
    <row r="3" spans="3:4">
      <c r="C3" t="s">
        <v>1103</v>
      </c>
      <c r="D3" t="s">
        <v>1104</v>
      </c>
    </row>
    <row r="4" spans="3:4" hidden="1">
      <c r="C4" t="s">
        <v>1105</v>
      </c>
      <c r="D4" t="s">
        <v>1122</v>
      </c>
    </row>
    <row r="5" spans="3:4" hidden="1">
      <c r="C5" t="s">
        <v>1106</v>
      </c>
      <c r="D5" t="s">
        <v>1123</v>
      </c>
    </row>
    <row r="6" spans="3:4" hidden="1">
      <c r="C6" t="s">
        <v>1107</v>
      </c>
      <c r="D6" t="s">
        <v>1124</v>
      </c>
    </row>
    <row r="7" spans="3:4" hidden="1">
      <c r="C7" t="s">
        <v>1108</v>
      </c>
      <c r="D7" t="s">
        <v>1125</v>
      </c>
    </row>
    <row r="8" spans="3:4" hidden="1">
      <c r="C8" t="s">
        <v>1109</v>
      </c>
      <c r="D8" t="s">
        <v>1126</v>
      </c>
    </row>
    <row r="9" spans="3:4" hidden="1">
      <c r="C9" t="s">
        <v>1110</v>
      </c>
      <c r="D9" t="s">
        <v>1127</v>
      </c>
    </row>
    <row r="10" spans="3:4" hidden="1">
      <c r="C10" t="s">
        <v>1111</v>
      </c>
      <c r="D10" t="s">
        <v>1128</v>
      </c>
    </row>
    <row r="11" spans="3:4" hidden="1">
      <c r="C11" t="s">
        <v>1112</v>
      </c>
      <c r="D11" t="s">
        <v>1129</v>
      </c>
    </row>
    <row r="12" spans="3:4" hidden="1">
      <c r="C12" t="s">
        <v>1113</v>
      </c>
      <c r="D12" t="s">
        <v>1130</v>
      </c>
    </row>
    <row r="13" spans="3:4" hidden="1">
      <c r="C13" t="s">
        <v>1114</v>
      </c>
      <c r="D13" t="s">
        <v>1131</v>
      </c>
    </row>
    <row r="14" spans="3:4" hidden="1">
      <c r="C14" t="s">
        <v>1115</v>
      </c>
      <c r="D14" t="s">
        <v>1132</v>
      </c>
    </row>
    <row r="15" spans="3:4" hidden="1">
      <c r="C15" t="s">
        <v>1116</v>
      </c>
      <c r="D15" t="s">
        <v>1133</v>
      </c>
    </row>
    <row r="16" spans="3:4" hidden="1">
      <c r="C16" t="s">
        <v>1117</v>
      </c>
      <c r="D16" t="s">
        <v>1134</v>
      </c>
    </row>
    <row r="17" spans="3:4">
      <c r="C17" s="15" t="s">
        <v>1142</v>
      </c>
      <c r="D17" t="s">
        <v>1135</v>
      </c>
    </row>
    <row r="18" spans="3:4" hidden="1">
      <c r="C18" t="s">
        <v>1118</v>
      </c>
      <c r="D18" t="s">
        <v>1136</v>
      </c>
    </row>
    <row r="19" spans="3:4" hidden="1">
      <c r="C19" t="s">
        <v>1119</v>
      </c>
      <c r="D19" t="s">
        <v>1137</v>
      </c>
    </row>
    <row r="20" spans="3:4">
      <c r="C20" s="15" t="s">
        <v>1143</v>
      </c>
      <c r="D20" t="s">
        <v>1138</v>
      </c>
    </row>
    <row r="21" spans="3:4" hidden="1">
      <c r="C21" t="s">
        <v>1120</v>
      </c>
      <c r="D21" t="s">
        <v>1139</v>
      </c>
    </row>
    <row r="22" spans="3:4">
      <c r="C22" s="15" t="s">
        <v>1144</v>
      </c>
      <c r="D22" t="s">
        <v>1140</v>
      </c>
    </row>
    <row r="23" spans="3:4" hidden="1">
      <c r="C23" t="s">
        <v>1121</v>
      </c>
      <c r="D23" t="s">
        <v>1141</v>
      </c>
    </row>
  </sheetData>
  <autoFilter ref="C3:D23" xr:uid="{B819262B-D94E-402E-A6C8-D9C0A59885AD}">
    <filterColumn colId="1">
      <filters>
        <filter val="1級 ストーリーの読み取り"/>
        <filter val="2級 ストーリーの読み取り"/>
        <filter val="準1級 ストーリーの読み取り"/>
      </filters>
    </filterColumn>
  </autoFilter>
  <phoneticPr fontId="2"/>
  <hyperlinks>
    <hyperlink ref="C17" r:id="rId1" xr:uid="{A7E04214-B1BB-4CB6-A9B0-81ED131D9A75}"/>
    <hyperlink ref="C20" r:id="rId2" xr:uid="{26774CA4-145B-4899-A3DC-E40C331B9E03}"/>
    <hyperlink ref="C22" r:id="rId3" xr:uid="{52AEDB79-0155-48CF-BE7F-4AC960B2A8A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shuwa</vt:lpstr>
      <vt:lpstr>writing</vt:lpstr>
      <vt:lpstr>Reference</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ken yamada</dc:creator>
  <cp:lastModifiedBy>ken yamada</cp:lastModifiedBy>
  <dcterms:created xsi:type="dcterms:W3CDTF">2015-06-05T18:19:34Z</dcterms:created>
  <dcterms:modified xsi:type="dcterms:W3CDTF">2025-08-25T22:44:37Z</dcterms:modified>
</cp:coreProperties>
</file>